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nikit\Downloads\"/>
    </mc:Choice>
  </mc:AlternateContent>
  <xr:revisionPtr revIDLastSave="0" documentId="13_ncr:1_{1DCCF0A7-D896-481C-8D9A-18D8D2A08AC8}" xr6:coauthVersionLast="47" xr6:coauthVersionMax="47" xr10:uidLastSave="{00000000-0000-0000-0000-000000000000}"/>
  <bookViews>
    <workbookView xWindow="-108" yWindow="-108" windowWidth="23256" windowHeight="12456" activeTab="1" xr2:uid="{00000000-000D-0000-FFFF-FFFF00000000}"/>
  </bookViews>
  <sheets>
    <sheet name="Instructions" sheetId="1" r:id="rId1"/>
    <sheet name="Sheet3" sheetId="5" r:id="rId2"/>
    <sheet name="Dataset" sheetId="2" r:id="rId3"/>
  </sheets>
  <calcPr calcId="191029"/>
  <extLst>
    <ext uri="GoogleSheetsCustomDataVersion2">
      <go:sheetsCustomData xmlns:go="http://customooxmlschemas.google.com/" r:id="rId6" roundtripDataChecksum="rIR6213FxEpgZ/k1UDjxyMHI45/G9Bc960XOAAH4UN4="/>
    </ext>
  </extLst>
</workbook>
</file>

<file path=xl/calcChain.xml><?xml version="1.0" encoding="utf-8"?>
<calcChain xmlns="http://schemas.openxmlformats.org/spreadsheetml/2006/main">
  <c r="L2" i="2" l="1"/>
  <c r="L3" i="2"/>
  <c r="L4" i="2"/>
  <c r="L5" i="2"/>
  <c r="L6" i="2"/>
  <c r="L7" i="2"/>
  <c r="L8" i="2"/>
  <c r="N8" i="2" s="1"/>
  <c r="L9" i="2"/>
  <c r="N9" i="2" s="1"/>
  <c r="L10" i="2"/>
  <c r="N10" i="2" s="1"/>
  <c r="L11" i="2"/>
  <c r="N11" i="2" s="1"/>
  <c r="L12" i="2"/>
  <c r="N12" i="2" s="1"/>
  <c r="L13" i="2"/>
  <c r="N13" i="2" s="1"/>
  <c r="L14" i="2"/>
  <c r="L15" i="2"/>
  <c r="L16" i="2"/>
  <c r="L17" i="2"/>
  <c r="L18" i="2"/>
  <c r="L19" i="2"/>
  <c r="L20" i="2"/>
  <c r="L21" i="2"/>
  <c r="L22" i="2"/>
  <c r="L23" i="2"/>
  <c r="N23" i="2" s="1"/>
  <c r="L24" i="2"/>
  <c r="N24" i="2" s="1"/>
  <c r="L25" i="2"/>
  <c r="N25" i="2" s="1"/>
  <c r="L26" i="2"/>
  <c r="L27" i="2"/>
  <c r="L28" i="2"/>
  <c r="L29" i="2"/>
  <c r="L30" i="2"/>
  <c r="L31" i="2"/>
  <c r="L32"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N14" i="2"/>
  <c r="N15" i="2"/>
  <c r="N26" i="2"/>
  <c r="N27" i="2"/>
  <c r="N2" i="2"/>
  <c r="C2" i="2"/>
  <c r="M2" i="2" s="1"/>
  <c r="C3" i="2"/>
  <c r="M3" i="2" s="1"/>
  <c r="C4" i="2"/>
  <c r="M4" i="2" s="1"/>
  <c r="C5" i="2"/>
  <c r="M5" i="2" s="1"/>
  <c r="C6" i="2"/>
  <c r="C7" i="2"/>
  <c r="M7" i="2" s="1"/>
  <c r="C8" i="2"/>
  <c r="M8" i="2" s="1"/>
  <c r="C9" i="2"/>
  <c r="C10" i="2"/>
  <c r="C11" i="2"/>
  <c r="M11" i="2" s="1"/>
  <c r="C12" i="2"/>
  <c r="M12" i="2" s="1"/>
  <c r="C13" i="2"/>
  <c r="M13" i="2" s="1"/>
  <c r="C14" i="2"/>
  <c r="M14" i="2" s="1"/>
  <c r="C15" i="2"/>
  <c r="M15" i="2" s="1"/>
  <c r="C16" i="2"/>
  <c r="M16" i="2" s="1"/>
  <c r="C17" i="2"/>
  <c r="M17" i="2" s="1"/>
  <c r="C18" i="2"/>
  <c r="M18" i="2" s="1"/>
  <c r="C19" i="2"/>
  <c r="M19" i="2" s="1"/>
  <c r="C20" i="2"/>
  <c r="M20" i="2" s="1"/>
  <c r="C21" i="2"/>
  <c r="M21" i="2" s="1"/>
  <c r="C22" i="2"/>
  <c r="M22" i="2" s="1"/>
  <c r="C23" i="2"/>
  <c r="M23" i="2" s="1"/>
  <c r="C24" i="2"/>
  <c r="M24" i="2" s="1"/>
  <c r="C25" i="2"/>
  <c r="M25" i="2" s="1"/>
  <c r="C26" i="2"/>
  <c r="M26" i="2" s="1"/>
  <c r="C27" i="2"/>
  <c r="M27" i="2" s="1"/>
  <c r="C28" i="2"/>
  <c r="M28" i="2" s="1"/>
  <c r="C29" i="2"/>
  <c r="M29" i="2" s="1"/>
  <c r="C30" i="2"/>
  <c r="M30" i="2" s="1"/>
  <c r="C31" i="2"/>
  <c r="M31" i="2" s="1"/>
  <c r="C32" i="2"/>
  <c r="M32" i="2" s="1"/>
  <c r="M6" i="2"/>
  <c r="M9" i="2"/>
  <c r="M10" i="2"/>
  <c r="N3" i="2"/>
  <c r="N4" i="2"/>
  <c r="N5" i="2"/>
  <c r="N6" i="2"/>
  <c r="N7" i="2"/>
  <c r="N16" i="2"/>
  <c r="N17" i="2"/>
  <c r="N18" i="2"/>
  <c r="N19" i="2"/>
  <c r="N20" i="2"/>
  <c r="N21" i="2"/>
  <c r="N22" i="2"/>
  <c r="N28" i="2"/>
  <c r="N29" i="2"/>
  <c r="N30" i="2"/>
  <c r="N31" i="2"/>
  <c r="N32" i="2"/>
</calcChain>
</file>

<file path=xl/sharedStrings.xml><?xml version="1.0" encoding="utf-8"?>
<sst xmlns="http://schemas.openxmlformats.org/spreadsheetml/2006/main" count="251" uniqueCount="165">
  <si>
    <t>Perform the following in the dataset from the 'Dataset' sheet.</t>
  </si>
  <si>
    <t>1) Handling Missing Values:</t>
  </si>
  <si>
    <t>• Check for missing values in the 'Price' column. How would you handle products with missing price information?</t>
  </si>
  <si>
    <t>• If there are products with missing categories, propose a strategy to impute or deal with these missing values effectively.</t>
  </si>
  <si>
    <t>2) Correcting Inconsistent Data:</t>
  </si>
  <si>
    <t>• Identify any inconsistent text formats present in the "Product Name" column.</t>
  </si>
  <si>
    <t>• Identify any typos present in the "Category" column.</t>
  </si>
  <si>
    <t>• Use the find and replace function to standardize the text formats in the "Product Name" column and fix any typos or misspellings in the "Category" column.</t>
  </si>
  <si>
    <t>3) Removing Duplicates:</t>
  </si>
  <si>
    <t>• Identify any duplicate rows within the dataset based on the entirety of each row, and remove them if any.</t>
  </si>
  <si>
    <t>4) Splitting and Merging Data:</t>
  </si>
  <si>
    <t>• Split the "Product ID" column into two separate columns for " Manufacturing Date" and "Country Code". Remove unnecessary characters, if any.</t>
  </si>
  <si>
    <t>• Merge the "Brand Name" and "Product Name" columns into one column named "Product Brand".</t>
  </si>
  <si>
    <t>5) Number Formatting:</t>
  </si>
  <si>
    <t xml:space="preserve">• Format the data type of the "Price" column to currency format. </t>
  </si>
  <si>
    <t xml:space="preserve">• Format the "Manufacturing Date" column to display dates in the "DD-MM-YYYY " format. </t>
  </si>
  <si>
    <t>6) Conditional Formatting:</t>
  </si>
  <si>
    <t>• Apply data bar or color scales conditional formatting in the "Price" column.</t>
  </si>
  <si>
    <t>• Create a custom rule for conditional formatting in the "Category" column to highlight cells where the category is "Electronics."</t>
  </si>
  <si>
    <t>Product ID</t>
  </si>
  <si>
    <t>Product Name</t>
  </si>
  <si>
    <t>Brand Name</t>
  </si>
  <si>
    <t>Price ($)</t>
  </si>
  <si>
    <t>Quantity</t>
  </si>
  <si>
    <t>Category</t>
  </si>
  <si>
    <t>28-JAN-US</t>
  </si>
  <si>
    <t>laptop</t>
  </si>
  <si>
    <t>Dell</t>
  </si>
  <si>
    <t>Electronics</t>
  </si>
  <si>
    <t>15-FEB-US</t>
  </si>
  <si>
    <t>Sneakers</t>
  </si>
  <si>
    <t>Nike</t>
  </si>
  <si>
    <t>Fashion</t>
  </si>
  <si>
    <t>03-MAR-US</t>
  </si>
  <si>
    <t>Coffee Maker</t>
  </si>
  <si>
    <t>Keurig</t>
  </si>
  <si>
    <t>Kitchen</t>
  </si>
  <si>
    <t>11-APR-US</t>
  </si>
  <si>
    <t>smartphone</t>
  </si>
  <si>
    <t>Samsung</t>
  </si>
  <si>
    <t>22-MAY-US</t>
  </si>
  <si>
    <t>Backpack</t>
  </si>
  <si>
    <t>North Face</t>
  </si>
  <si>
    <t>07-JUN-UK</t>
  </si>
  <si>
    <t>Headphones</t>
  </si>
  <si>
    <t>Sony</t>
  </si>
  <si>
    <t>19-JUL-UK</t>
  </si>
  <si>
    <t>T-shirt</t>
  </si>
  <si>
    <t>Adidas</t>
  </si>
  <si>
    <t>23-AUG-UK</t>
  </si>
  <si>
    <t>Blender</t>
  </si>
  <si>
    <t>Ninja</t>
  </si>
  <si>
    <t>05-SEP-UK</t>
  </si>
  <si>
    <t>Tablet</t>
  </si>
  <si>
    <t>Apple</t>
  </si>
  <si>
    <t>14-OCT-UK</t>
  </si>
  <si>
    <t>Hiking Boots</t>
  </si>
  <si>
    <t>Timberland</t>
  </si>
  <si>
    <t>Outdoor</t>
  </si>
  <si>
    <t>17-JUN-IN</t>
  </si>
  <si>
    <t>Laptop</t>
  </si>
  <si>
    <t>HP</t>
  </si>
  <si>
    <t>25-NOV-AU</t>
  </si>
  <si>
    <t>08-DEC-DE</t>
  </si>
  <si>
    <t>Nespresso</t>
  </si>
  <si>
    <t>18-FEB-CA</t>
  </si>
  <si>
    <t>Smartwatch</t>
  </si>
  <si>
    <t>Fitbit</t>
  </si>
  <si>
    <t>16-APR-ES</t>
  </si>
  <si>
    <t>headphones</t>
  </si>
  <si>
    <t>Bose</t>
  </si>
  <si>
    <t>21-AUG-CA</t>
  </si>
  <si>
    <t>Laptop Bag</t>
  </si>
  <si>
    <t>Samsonite</t>
  </si>
  <si>
    <t>Accessories</t>
  </si>
  <si>
    <t>20-AUG-CN</t>
  </si>
  <si>
    <t>Huawei</t>
  </si>
  <si>
    <t>27-JAN-IT</t>
  </si>
  <si>
    <t>Asus</t>
  </si>
  <si>
    <t>01-MAR-UK</t>
  </si>
  <si>
    <t>Sunglasses</t>
  </si>
  <si>
    <t>Oakley</t>
  </si>
  <si>
    <t>14-AUG-US</t>
  </si>
  <si>
    <t>Camping Tent</t>
  </si>
  <si>
    <t>Coleman</t>
  </si>
  <si>
    <t>14-MAY-RU</t>
  </si>
  <si>
    <t>Camera</t>
  </si>
  <si>
    <t>Nikon</t>
  </si>
  <si>
    <t>09-JAN-CA</t>
  </si>
  <si>
    <t>Microwave</t>
  </si>
  <si>
    <t>Panasonic</t>
  </si>
  <si>
    <t>19-JUL-BR</t>
  </si>
  <si>
    <t>Fitness Tracker</t>
  </si>
  <si>
    <t>Xiaomi</t>
  </si>
  <si>
    <t>29-SEP-CA</t>
  </si>
  <si>
    <t>Smartphone</t>
  </si>
  <si>
    <t>Google</t>
  </si>
  <si>
    <t>03-JUN-CA</t>
  </si>
  <si>
    <t>Ray-Ban</t>
  </si>
  <si>
    <t>11-JUL-CA</t>
  </si>
  <si>
    <t>Vitamix</t>
  </si>
  <si>
    <t>07-MAR-CA</t>
  </si>
  <si>
    <t>Dress</t>
  </si>
  <si>
    <t>Zara</t>
  </si>
  <si>
    <t>13-APR-CA</t>
  </si>
  <si>
    <t>Toaster</t>
  </si>
  <si>
    <t>Hamilton</t>
  </si>
  <si>
    <t>24-MAY-CA</t>
  </si>
  <si>
    <t>Garmin</t>
  </si>
  <si>
    <t>02-DEC-CA</t>
  </si>
  <si>
    <t>Jeans</t>
  </si>
  <si>
    <t>Levi's</t>
  </si>
  <si>
    <t>09-JUL-FR</t>
  </si>
  <si>
    <t>Watch</t>
  </si>
  <si>
    <t>Casio</t>
  </si>
  <si>
    <t>Solution: Apply filters on the category column and select blanks we see that there are 4 missing values. We can replace the missing values with general information comparing to the other products.</t>
  </si>
  <si>
    <t>Backpack with Accessories, Sneakers with Fashion, Coffee maker with Kitchen and Fitness Tracker with Electronics.</t>
  </si>
  <si>
    <t>Solution: Some of the values are in Lower case and some of them are in Proper case. Convert all of them into Proper Case.</t>
  </si>
  <si>
    <t>Solution: There are typos present in the Electronics category.</t>
  </si>
  <si>
    <t>Solution: Done in the dataset itself, Using CTRL+F to find laptop, smartphone and headphones. Replace them with Laptop, Smartphone and Headphones. Or else we can use Propercase to convert all the values in one format.</t>
  </si>
  <si>
    <t>Electroni cell values in the category are the typos. Used the filter, used CTRL+F to find and replace it with Electronics.</t>
  </si>
  <si>
    <t xml:space="preserve">Solution: Three duplicates values found. </t>
  </si>
  <si>
    <t>Manufacturing Date</t>
  </si>
  <si>
    <t>Country Code</t>
  </si>
  <si>
    <t>JAN</t>
  </si>
  <si>
    <t>US</t>
  </si>
  <si>
    <t>FEB</t>
  </si>
  <si>
    <t>MAR</t>
  </si>
  <si>
    <t>APR</t>
  </si>
  <si>
    <t>MAY</t>
  </si>
  <si>
    <t>JUN</t>
  </si>
  <si>
    <t>UK</t>
  </si>
  <si>
    <t>JUL</t>
  </si>
  <si>
    <t>AUG</t>
  </si>
  <si>
    <t>SEP</t>
  </si>
  <si>
    <t>OCT</t>
  </si>
  <si>
    <t>IN</t>
  </si>
  <si>
    <t>NOV</t>
  </si>
  <si>
    <t>AU</t>
  </si>
  <si>
    <t>DEC</t>
  </si>
  <si>
    <t>DE</t>
  </si>
  <si>
    <t>CA</t>
  </si>
  <si>
    <t>ES</t>
  </si>
  <si>
    <t>CN</t>
  </si>
  <si>
    <t>IT</t>
  </si>
  <si>
    <t>RU</t>
  </si>
  <si>
    <t>BR</t>
  </si>
  <si>
    <t>FR</t>
  </si>
  <si>
    <t>Column1</t>
  </si>
  <si>
    <t>Column2</t>
  </si>
  <si>
    <t>Column3</t>
  </si>
  <si>
    <t>Product Brand</t>
  </si>
  <si>
    <t>Solution: Done in the dataset itself, used Text and Columns to split the data in Product ID into three different columns.</t>
  </si>
  <si>
    <t>Renamed the new column to Manufacturing Date.</t>
  </si>
  <si>
    <t>Solution: Done in the dataset itself, used concat function to merge the data in Brand Name and Product Name.</t>
  </si>
  <si>
    <t>• Format the data type of the "Price" column to currency format.</t>
  </si>
  <si>
    <t>Product Name1</t>
  </si>
  <si>
    <t>Solution: Apply filters on the price column and select blanks we see that there are 3 missing values. We can delete or replace the missing values. In this case we are going for replacement, can either replace it with mean or median value. Compare the similar products such as bose headphones with sony headphones and replace the values.</t>
  </si>
  <si>
    <t>Solution: Selected the whole coulmn -&gt; right and clicked on format cells -&gt; Currency -&gt; $</t>
  </si>
  <si>
    <t>MM</t>
  </si>
  <si>
    <t xml:space="preserve">YYYY " format. </t>
  </si>
  <si>
    <t>Named the Column3 to Country Code. Merged the data in Column2 &amp; Column3.</t>
  </si>
  <si>
    <t xml:space="preserve">Solution: By using the date formula could convert the manufacturing date format into month/day/year format and then used format cells option. Converted it to "DD-MM-YYYY" format. </t>
  </si>
  <si>
    <t>DD-MM-YYYY</t>
  </si>
  <si>
    <t>Did in the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</si>
</sst>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9" formatCode="&quot;$&quot;#,##0"/>
    <numFmt numFmtId="171" formatCode="[$-14009]dd\-mm\-yyyy;@"/>
    <numFmt numFmtId="172" formatCode="dd\-mm\-yyyy"/>
  </numFmts>
  <fonts count="16" x14ac:knownFonts="1">
    <font>
      <sz val="10"/>
      <color rgb="FF000000"/>
      <name val="Arial"/>
      <scheme val="minor"/>
    </font>
    <font>
      <b/>
      <sz val="11"/>
      <color theme="1"/>
      <name val="Arial"/>
    </font>
    <font>
      <b/>
      <sz val="12"/>
      <color theme="1"/>
      <name val="Times New Roman"/>
    </font>
    <font>
      <sz val="12"/>
      <color theme="1"/>
      <name val="Times New Roman"/>
    </font>
    <font>
      <b/>
      <sz val="11"/>
      <color theme="1"/>
      <name val="Calibri"/>
    </font>
    <font>
      <sz val="10"/>
      <color theme="1"/>
      <name val="Arial"/>
    </font>
    <font>
      <sz val="11"/>
      <color theme="1"/>
      <name val="Times New Roman"/>
    </font>
    <font>
      <b/>
      <sz val="10"/>
      <color theme="1"/>
      <name val="Arial"/>
    </font>
    <font>
      <sz val="10"/>
      <color theme="1"/>
      <name val="Arial"/>
      <family val="2"/>
    </font>
    <font>
      <sz val="10"/>
      <color rgb="FFFF0000"/>
      <name val="Arial"/>
      <family val="2"/>
      <scheme val="minor"/>
    </font>
    <font>
      <b/>
      <sz val="10"/>
      <color theme="1"/>
      <name val="Arial"/>
      <family val="2"/>
    </font>
    <font>
      <sz val="10"/>
      <color rgb="FF000000"/>
      <name val="Arial"/>
      <family val="2"/>
      <scheme val="minor"/>
    </font>
    <font>
      <sz val="10"/>
      <color theme="1"/>
      <name val="Arial"/>
      <family val="2"/>
      <scheme val="minor"/>
    </font>
    <font>
      <sz val="12"/>
      <color theme="1"/>
      <name val="Times New Roman"/>
      <family val="1"/>
    </font>
    <font>
      <sz val="8"/>
      <name val="Arial"/>
      <family val="2"/>
      <scheme val="minor"/>
    </font>
    <font>
      <b/>
      <sz val="12"/>
      <color theme="1"/>
      <name val="Times New Roman"/>
      <family val="1"/>
    </font>
  </fonts>
  <fills count="6">
    <fill>
      <patternFill patternType="none"/>
    </fill>
    <fill>
      <patternFill patternType="gray125"/>
    </fill>
    <fill>
      <patternFill patternType="solid">
        <fgColor rgb="FF4DD0E1"/>
        <bgColor rgb="FF4DD0E1"/>
      </patternFill>
    </fill>
    <fill>
      <patternFill patternType="solid">
        <fgColor rgb="FFE0F7FA"/>
        <bgColor rgb="FFE0F7FA"/>
      </patternFill>
    </fill>
    <fill>
      <patternFill patternType="solid">
        <fgColor theme="4" tint="0.79998168889431442"/>
        <bgColor theme="4" tint="0.79998168889431442"/>
      </patternFill>
    </fill>
    <fill>
      <patternFill patternType="solid">
        <fgColor rgb="FFE0F7FA"/>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2" borderId="0" xfId="0" applyFont="1" applyFill="1" applyAlignment="1">
      <alignment horizontal="center"/>
    </xf>
    <xf numFmtId="0" fontId="5" fillId="3" borderId="0" xfId="0" applyFont="1" applyFill="1"/>
    <xf numFmtId="0" fontId="9" fillId="0" borderId="0" xfId="0" applyFont="1"/>
    <xf numFmtId="0" fontId="11" fillId="0" borderId="0" xfId="0" applyFont="1"/>
    <xf numFmtId="0" fontId="8" fillId="0" borderId="0" xfId="0" applyFont="1"/>
    <xf numFmtId="0" fontId="12" fillId="0" borderId="0" xfId="0" applyFont="1"/>
    <xf numFmtId="0" fontId="13" fillId="0" borderId="0" xfId="0" applyFont="1"/>
    <xf numFmtId="0" fontId="8" fillId="3" borderId="0" xfId="0" applyFont="1" applyFill="1"/>
    <xf numFmtId="0" fontId="10" fillId="2" borderId="0" xfId="0" applyFont="1" applyFill="1" applyAlignment="1">
      <alignment horizontal="center"/>
    </xf>
    <xf numFmtId="0" fontId="15" fillId="0" borderId="0" xfId="0" applyFont="1"/>
    <xf numFmtId="0" fontId="11" fillId="0" borderId="0" xfId="0" applyFont="1" applyFill="1" applyBorder="1"/>
    <xf numFmtId="0" fontId="12" fillId="4" borderId="1" xfId="0" applyFont="1" applyFill="1" applyBorder="1" applyAlignment="1">
      <alignment wrapText="1"/>
    </xf>
    <xf numFmtId="0" fontId="12" fillId="5" borderId="1" xfId="0" applyFont="1" applyFill="1" applyBorder="1" applyAlignment="1">
      <alignment wrapText="1"/>
    </xf>
    <xf numFmtId="169" fontId="0" fillId="0" borderId="0" xfId="0" applyNumberFormat="1"/>
    <xf numFmtId="169" fontId="5" fillId="0" borderId="0" xfId="0" applyNumberFormat="1" applyFont="1"/>
    <xf numFmtId="169" fontId="7" fillId="2" borderId="0" xfId="0" applyNumberFormat="1" applyFont="1" applyFill="1" applyAlignment="1">
      <alignment horizontal="center"/>
    </xf>
    <xf numFmtId="169" fontId="5" fillId="3" borderId="0" xfId="0" applyNumberFormat="1" applyFont="1" applyFill="1"/>
    <xf numFmtId="169" fontId="8" fillId="0" borderId="0" xfId="0" applyNumberFormat="1" applyFont="1"/>
    <xf numFmtId="171" fontId="10" fillId="2" borderId="0" xfId="0" applyNumberFormat="1" applyFont="1" applyFill="1" applyAlignment="1">
      <alignment horizontal="center"/>
    </xf>
    <xf numFmtId="171" fontId="0" fillId="0" borderId="0" xfId="0" applyNumberFormat="1"/>
    <xf numFmtId="172" fontId="10" fillId="2" borderId="0" xfId="0" applyNumberFormat="1" applyFont="1" applyFill="1" applyAlignment="1">
      <alignment horizontal="center"/>
    </xf>
    <xf numFmtId="172" fontId="8" fillId="3" borderId="0" xfId="0" applyNumberFormat="1" applyFont="1" applyFill="1"/>
    <xf numFmtId="172" fontId="0" fillId="0" borderId="0" xfId="0" applyNumberFormat="1"/>
    <xf numFmtId="0" fontId="10" fillId="2" borderId="0" xfId="0" applyFont="1" applyFill="1" applyAlignment="1">
      <alignment horizontal="right"/>
    </xf>
    <xf numFmtId="0" fontId="8" fillId="3" borderId="0" xfId="0" applyFont="1" applyFill="1" applyAlignment="1">
      <alignment horizontal="right"/>
    </xf>
    <xf numFmtId="0" fontId="0" fillId="0" borderId="0" xfId="0" applyAlignment="1">
      <alignment horizontal="right"/>
    </xf>
    <xf numFmtId="171" fontId="11" fillId="0" borderId="0" xfId="0" applyNumberFormat="1" applyFont="1"/>
  </cellXfs>
  <cellStyles count="1">
    <cellStyle name="Normal" xfId="0" builtinId="0"/>
  </cellStyles>
  <dxfs count="29">
    <dxf>
      <fill>
        <patternFill>
          <bgColor theme="9" tint="-0.24994659260841701"/>
        </patternFill>
      </fill>
    </dxf>
    <dxf>
      <fill>
        <patternFill>
          <bgColor theme="9" tint="-0.24994659260841701"/>
        </patternFill>
      </fill>
    </dxf>
    <dxf>
      <numFmt numFmtId="0" formatCode="General"/>
    </dxf>
    <dxf>
      <fill>
        <patternFill>
          <bgColor theme="9" tint="-0.24994659260841701"/>
        </patternFill>
      </fill>
    </dxf>
    <dxf>
      <numFmt numFmtId="0" formatCode="General"/>
    </dxf>
    <dxf>
      <fill>
        <patternFill>
          <bgColor theme="9" tint="-0.24994659260841701"/>
        </patternFill>
      </fill>
    </dxf>
    <dxf>
      <fill>
        <patternFill>
          <bgColor theme="9" tint="-0.24994659260841701"/>
        </patternFill>
      </fill>
    </dxf>
    <dxf>
      <fill>
        <patternFill>
          <bgColor theme="9" tint="-0.24994659260841701"/>
        </patternFill>
      </fill>
    </dxf>
    <dxf>
      <numFmt numFmtId="0" formatCode="General"/>
    </dxf>
    <dxf>
      <numFmt numFmtId="0" formatCode="General"/>
    </dxf>
    <dxf>
      <numFmt numFmtId="0" formatCode="General"/>
    </dxf>
    <dxf>
      <numFmt numFmtId="171" formatCode="[$-14009]dd\-mm\-yyyy;@"/>
    </dxf>
    <dxf>
      <numFmt numFmtId="168" formatCode="&quot;$&quot;#,##0.00"/>
    </dxf>
    <dxf>
      <numFmt numFmtId="171" formatCode="[$-14009]dd\-mm\-yyyy;@"/>
    </dxf>
    <dxf>
      <font>
        <b val="0"/>
        <i val="0"/>
        <strike val="0"/>
        <condense val="0"/>
        <extend val="0"/>
        <outline val="0"/>
        <shadow val="0"/>
        <u val="none"/>
        <vertAlign val="baseline"/>
        <sz val="10"/>
        <color theme="1"/>
        <name val="Arial"/>
        <scheme val="none"/>
      </font>
      <numFmt numFmtId="171" formatCode="[$-14009]dd\-mm\-yyyy;@"/>
      <fill>
        <patternFill patternType="solid">
          <fgColor rgb="FFE0F7FA"/>
          <bgColor rgb="FFE0F7FA"/>
        </patternFill>
      </fill>
    </dxf>
    <dxf>
      <font>
        <b val="0"/>
        <i val="0"/>
        <strike val="0"/>
        <condense val="0"/>
        <extend val="0"/>
        <outline val="0"/>
        <shadow val="0"/>
        <u val="none"/>
        <vertAlign val="baseline"/>
        <sz val="10"/>
        <color theme="1"/>
        <name val="Arial"/>
        <scheme val="none"/>
      </font>
      <numFmt numFmtId="172" formatCode="dd\-mm\-yyyy"/>
      <fill>
        <patternFill patternType="solid">
          <fgColor rgb="FFE0F7FA"/>
          <bgColor rgb="FFE0F7FA"/>
        </patternFill>
      </fill>
    </dxf>
    <dxf>
      <font>
        <b val="0"/>
        <i val="0"/>
        <strike val="0"/>
        <condense val="0"/>
        <extend val="0"/>
        <outline val="0"/>
        <shadow val="0"/>
        <u val="none"/>
        <vertAlign val="baseline"/>
        <sz val="10"/>
        <color theme="1"/>
        <name val="Arial"/>
        <family val="2"/>
        <scheme val="none"/>
      </font>
      <numFmt numFmtId="0" formatCode="General"/>
      <fill>
        <patternFill patternType="solid">
          <fgColor rgb="FFE0F7FA"/>
          <bgColor rgb="FFE0F7FA"/>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solid">
          <fgColor rgb="FFE0F7FA"/>
          <bgColor rgb="FFE0F7FA"/>
        </patternFill>
      </fill>
    </dxf>
    <dxf>
      <font>
        <b val="0"/>
        <i val="0"/>
        <strike val="0"/>
        <condense val="0"/>
        <extend val="0"/>
        <outline val="0"/>
        <shadow val="0"/>
        <u val="none"/>
        <vertAlign val="baseline"/>
        <sz val="10"/>
        <color theme="1"/>
        <name val="Arial"/>
        <scheme val="none"/>
      </font>
      <fill>
        <patternFill patternType="solid">
          <fgColor rgb="FFE0F7FA"/>
          <bgColor rgb="FFE0F7FA"/>
        </patternFill>
      </fill>
    </dxf>
    <dxf>
      <font>
        <b val="0"/>
        <i val="0"/>
        <strike val="0"/>
        <condense val="0"/>
        <extend val="0"/>
        <outline val="0"/>
        <shadow val="0"/>
        <u val="none"/>
        <vertAlign val="baseline"/>
        <sz val="10"/>
        <color theme="1"/>
        <name val="Arial"/>
        <scheme val="none"/>
      </font>
      <numFmt numFmtId="169" formatCode="&quot;$&quot;#,##0"/>
      <fill>
        <patternFill patternType="solid">
          <fgColor rgb="FFE0F7FA"/>
          <bgColor rgb="FFE0F7FA"/>
        </patternFill>
      </fill>
    </dxf>
    <dxf>
      <font>
        <b val="0"/>
        <i val="0"/>
        <strike val="0"/>
        <condense val="0"/>
        <extend val="0"/>
        <outline val="0"/>
        <shadow val="0"/>
        <u val="none"/>
        <vertAlign val="baseline"/>
        <sz val="10"/>
        <color theme="1"/>
        <name val="Arial"/>
        <scheme val="none"/>
      </font>
      <numFmt numFmtId="0" formatCode="General"/>
      <fill>
        <patternFill patternType="solid">
          <fgColor rgb="FFE0F7FA"/>
          <bgColor rgb="FFE0F7FA"/>
        </patternFill>
      </fill>
    </dxf>
    <dxf>
      <font>
        <b val="0"/>
        <i val="0"/>
        <strike val="0"/>
        <condense val="0"/>
        <extend val="0"/>
        <outline val="0"/>
        <shadow val="0"/>
        <u val="none"/>
        <vertAlign val="baseline"/>
        <sz val="10"/>
        <color theme="1"/>
        <name val="Arial"/>
        <scheme val="none"/>
      </font>
      <numFmt numFmtId="0" formatCode="General"/>
      <fill>
        <patternFill patternType="solid">
          <fgColor rgb="FFE0F7FA"/>
          <bgColor rgb="FFE0F7FA"/>
        </patternFill>
      </fill>
    </dxf>
    <dxf>
      <font>
        <b val="0"/>
        <i val="0"/>
        <strike val="0"/>
        <condense val="0"/>
        <extend val="0"/>
        <outline val="0"/>
        <shadow val="0"/>
        <u val="none"/>
        <vertAlign val="baseline"/>
        <sz val="10"/>
        <color theme="1"/>
        <name val="Arial"/>
        <scheme val="none"/>
      </font>
      <fill>
        <patternFill patternType="solid">
          <fgColor rgb="FFE0F7FA"/>
          <bgColor rgb="FFE0F7FA"/>
        </patternFill>
      </fill>
    </dxf>
    <dxf>
      <font>
        <b val="0"/>
        <i val="0"/>
        <strike val="0"/>
        <condense val="0"/>
        <extend val="0"/>
        <outline val="0"/>
        <shadow val="0"/>
        <u val="none"/>
        <vertAlign val="baseline"/>
        <sz val="10"/>
        <color theme="1"/>
        <name val="Arial"/>
        <scheme val="none"/>
      </font>
      <fill>
        <patternFill patternType="solid">
          <fgColor rgb="FFE0F7FA"/>
          <bgColor rgb="FFE0F7FA"/>
        </patternFill>
      </fill>
    </dxf>
    <dxf>
      <font>
        <b val="0"/>
        <i val="0"/>
        <strike val="0"/>
        <condense val="0"/>
        <extend val="0"/>
        <outline val="0"/>
        <shadow val="0"/>
        <u val="none"/>
        <vertAlign val="baseline"/>
        <sz val="10"/>
        <color theme="1"/>
        <name val="Arial"/>
        <scheme val="none"/>
      </font>
      <fill>
        <patternFill patternType="solid">
          <fgColor rgb="FFE0F7FA"/>
          <bgColor rgb="FFE0F7FA"/>
        </patternFill>
      </fill>
    </dxf>
    <dxf>
      <font>
        <b val="0"/>
        <i val="0"/>
        <strike val="0"/>
        <condense val="0"/>
        <extend val="0"/>
        <outline val="0"/>
        <shadow val="0"/>
        <u val="none"/>
        <vertAlign val="baseline"/>
        <sz val="10"/>
        <color theme="1"/>
        <name val="Arial"/>
        <scheme val="none"/>
      </font>
      <fill>
        <patternFill patternType="solid">
          <fgColor rgb="FFE0F7FA"/>
          <bgColor rgb="FFE0F7FA"/>
        </patternFill>
      </fill>
    </dxf>
    <dxf>
      <font>
        <b val="0"/>
        <i val="0"/>
        <strike val="0"/>
        <condense val="0"/>
        <extend val="0"/>
        <outline val="0"/>
        <shadow val="0"/>
        <u val="none"/>
        <vertAlign val="baseline"/>
        <sz val="10"/>
        <color theme="1"/>
        <name val="Arial"/>
        <scheme val="none"/>
      </font>
      <fill>
        <patternFill patternType="solid">
          <fgColor rgb="FFE0F7FA"/>
          <bgColor rgb="FFE0F7FA"/>
        </patternFill>
      </fill>
    </dxf>
    <dxf>
      <font>
        <b val="0"/>
        <i val="0"/>
        <strike val="0"/>
        <condense val="0"/>
        <extend val="0"/>
        <outline val="0"/>
        <shadow val="0"/>
        <u val="none"/>
        <vertAlign val="baseline"/>
        <sz val="10"/>
        <color theme="1"/>
        <name val="Arial"/>
        <scheme val="none"/>
      </font>
      <fill>
        <patternFill patternType="solid">
          <fgColor rgb="FFE0F7FA"/>
          <bgColor rgb="FFE0F7FA"/>
        </patternFill>
      </fill>
    </dxf>
    <dxf>
      <font>
        <b/>
        <i val="0"/>
        <strike val="0"/>
        <condense val="0"/>
        <extend val="0"/>
        <outline val="0"/>
        <shadow val="0"/>
        <u val="none"/>
        <vertAlign val="baseline"/>
        <sz val="10"/>
        <color theme="1"/>
        <name val="Arial"/>
        <scheme val="none"/>
      </font>
      <fill>
        <patternFill patternType="solid">
          <fgColor rgb="FF4DD0E1"/>
          <bgColor rgb="FF4DD0E1"/>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1F60C7-547E-4194-B730-921255EE8630}" name="Table1" displayName="Table1" ref="A1:N32" totalsRowShown="0" headerRowDxfId="28" dataDxfId="27">
  <autoFilter ref="A1:N32" xr:uid="{7B1F60C7-547E-4194-B730-921255EE8630}"/>
  <tableColumns count="14">
    <tableColumn id="1" xr3:uid="{43D19CCF-7D0A-4118-9C0B-7C03584B966D}" name="Product ID" dataDxfId="26"/>
    <tableColumn id="14" xr3:uid="{65971D08-A6A0-4078-921B-417761D1A904}" name="Product Name"/>
    <tableColumn id="2" xr3:uid="{6B7F6B09-EFE6-4BAE-A54B-C6D44850F983}" name="Product Name1" dataDxfId="20">
      <calculatedColumnFormula>PROPER(Table1[[#This Row],[Product Name]])</calculatedColumnFormula>
    </tableColumn>
    <tableColumn id="3" xr3:uid="{D616CD26-099B-4A18-8D5B-0E30D738C294}" name="Brand Name" dataDxfId="25"/>
    <tableColumn id="4" xr3:uid="{6EABD902-0D36-4A57-A733-17025158C157}" name="Price ($)" dataDxfId="19"/>
    <tableColumn id="5" xr3:uid="{E98D6CBB-245D-4729-842B-12F7B1D47C58}" name="Quantity" dataDxfId="24"/>
    <tableColumn id="6" xr3:uid="{EADE7C06-311D-436F-B9D8-27B5A118DB6D}" name="Category" dataDxfId="23"/>
    <tableColumn id="9" xr3:uid="{29F232C8-C838-4867-9328-7A3CA2F3A5C8}" name="Column1" dataDxfId="18"/>
    <tableColumn id="16" xr3:uid="{CD5D845B-6E09-4221-BB30-A06FDF395B82}" name="Column2" dataDxfId="16">
      <calculatedColumnFormula>IF(Table1[[#This Row],[Column1]]&lt;10, _xlfn.CONCAT("0",Table1[[#This Row],[Column1]]), Table1[[#This Row],[Column1]])</calculatedColumnFormula>
    </tableColumn>
    <tableColumn id="10" xr3:uid="{57433438-C9AF-4B38-8066-7FCACE3173D4}" name="Column3" dataDxfId="17"/>
    <tableColumn id="11" xr3:uid="{A225441B-FD0F-4583-A524-0C6D3B29932D}" name="Country Code" dataDxfId="22"/>
    <tableColumn id="12" xr3:uid="{DDC9298D-589E-460E-A925-EB8698044DB5}" name="Manufacturing Date" dataDxfId="15">
      <calculatedColumnFormula>Table1[[#This Row],[Column2]]&amp;"-"&amp;Table1[[#This Row],[Column3]]</calculatedColumnFormula>
    </tableColumn>
    <tableColumn id="13" xr3:uid="{4BBF8797-9B51-4FD9-87DF-AB5F9C7A298B}" name="Product Brand" dataDxfId="21">
      <calculatedColumnFormula>_xlfn.CONCAT(Table1[[#This Row],[Brand Name]],Table1[[#This Row],[Product Name1]])</calculatedColumnFormula>
    </tableColumn>
    <tableColumn id="15" xr3:uid="{0506EE35-63CA-4E1A-95DD-F820D026D84F}" name="DD-MM-YYYY" dataDxfId="14">
      <calculatedColumnFormula>DATE(2026,MONTH(DATEVALUE("1-"&amp;MID(L2,4,3))),LEFT(L2,2))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000"/>
  <sheetViews>
    <sheetView showGridLines="0" topLeftCell="A16" workbookViewId="0">
      <selection activeCell="C25" sqref="C25"/>
    </sheetView>
  </sheetViews>
  <sheetFormatPr defaultColWidth="12.6640625" defaultRowHeight="15" customHeight="1" x14ac:dyDescent="0.25"/>
  <cols>
    <col min="1" max="1" width="12.6640625" customWidth="1"/>
    <col min="2" max="2" width="7.44140625" customWidth="1"/>
    <col min="3" max="6" width="12.6640625" customWidth="1"/>
  </cols>
  <sheetData>
    <row r="1" spans="1:11" ht="15.75" customHeight="1" x14ac:dyDescent="0.25">
      <c r="A1" s="1" t="s">
        <v>0</v>
      </c>
    </row>
    <row r="2" spans="1:11" ht="15.75" customHeight="1" x14ac:dyDescent="0.25"/>
    <row r="3" spans="1:11" ht="15.75" customHeight="1" x14ac:dyDescent="0.3">
      <c r="B3" s="2" t="s">
        <v>1</v>
      </c>
    </row>
    <row r="4" spans="1:11" ht="15.75" customHeight="1" x14ac:dyDescent="0.3">
      <c r="C4" s="13" t="s">
        <v>2</v>
      </c>
    </row>
    <row r="5" spans="1:11" ht="15.75" customHeight="1" x14ac:dyDescent="0.3">
      <c r="B5" s="4"/>
      <c r="C5" s="3" t="s">
        <v>3</v>
      </c>
    </row>
    <row r="6" spans="1:11" ht="15.75" customHeight="1" x14ac:dyDescent="0.3">
      <c r="B6" s="4"/>
    </row>
    <row r="7" spans="1:11" ht="15.75" customHeight="1" x14ac:dyDescent="0.3">
      <c r="B7" s="2" t="s">
        <v>4</v>
      </c>
    </row>
    <row r="8" spans="1:11" ht="15.75" customHeight="1" x14ac:dyDescent="0.3">
      <c r="C8" s="3" t="s">
        <v>5</v>
      </c>
    </row>
    <row r="9" spans="1:11" ht="15.75" customHeight="1" x14ac:dyDescent="0.3">
      <c r="C9" s="3" t="s">
        <v>6</v>
      </c>
    </row>
    <row r="10" spans="1:11" ht="15.75" customHeight="1" x14ac:dyDescent="0.3">
      <c r="C10" s="3" t="s">
        <v>7</v>
      </c>
    </row>
    <row r="11" spans="1:11" ht="15.75" customHeight="1" x14ac:dyDescent="0.3">
      <c r="B11" s="4"/>
    </row>
    <row r="12" spans="1:11" ht="15.75" customHeight="1" x14ac:dyDescent="0.3">
      <c r="B12" s="2" t="s">
        <v>8</v>
      </c>
    </row>
    <row r="13" spans="1:11" ht="15.75" customHeight="1" x14ac:dyDescent="0.3">
      <c r="B13" s="2"/>
      <c r="C13" s="3" t="s">
        <v>9</v>
      </c>
    </row>
    <row r="14" spans="1:11" ht="15.75" customHeight="1" x14ac:dyDescent="0.25"/>
    <row r="15" spans="1:11" ht="15.75" customHeight="1" x14ac:dyDescent="0.3">
      <c r="B15" s="16" t="s">
        <v>10</v>
      </c>
      <c r="C15" s="5"/>
      <c r="D15" s="5"/>
      <c r="E15" s="5"/>
      <c r="F15" s="5"/>
      <c r="G15" s="5"/>
      <c r="H15" s="5"/>
      <c r="I15" s="5"/>
      <c r="J15" s="5"/>
      <c r="K15" s="5"/>
    </row>
    <row r="16" spans="1:11" ht="15.75" customHeight="1" x14ac:dyDescent="0.3">
      <c r="B16" s="5"/>
      <c r="C16" s="13" t="s">
        <v>11</v>
      </c>
      <c r="D16" s="5"/>
      <c r="E16" s="5"/>
      <c r="F16" s="5"/>
      <c r="G16" s="5"/>
      <c r="H16" s="5"/>
      <c r="I16" s="5"/>
      <c r="J16" s="5"/>
      <c r="K16" s="5"/>
    </row>
    <row r="17" spans="2:11" ht="15.75" customHeight="1" x14ac:dyDescent="0.3">
      <c r="B17" s="5"/>
      <c r="C17" s="13" t="s">
        <v>12</v>
      </c>
      <c r="D17" s="5"/>
      <c r="E17" s="5"/>
      <c r="F17" s="5"/>
      <c r="G17" s="5"/>
      <c r="H17" s="5"/>
      <c r="I17" s="5"/>
      <c r="J17" s="5"/>
      <c r="K17" s="5"/>
    </row>
    <row r="18" spans="2:11" ht="15.75" customHeight="1" x14ac:dyDescent="0.25">
      <c r="B18" s="5"/>
      <c r="C18" s="5"/>
      <c r="D18" s="5"/>
      <c r="E18" s="5"/>
      <c r="F18" s="5"/>
      <c r="G18" s="5"/>
      <c r="H18" s="5"/>
      <c r="I18" s="5"/>
      <c r="J18" s="5"/>
      <c r="K18" s="5"/>
    </row>
    <row r="19" spans="2:11" ht="15.75" customHeight="1" x14ac:dyDescent="0.3">
      <c r="B19" s="16" t="s">
        <v>13</v>
      </c>
      <c r="C19" s="5"/>
      <c r="D19" s="5"/>
      <c r="E19" s="5"/>
      <c r="F19" s="5"/>
      <c r="G19" s="5"/>
      <c r="H19" s="5"/>
      <c r="I19" s="5"/>
      <c r="J19" s="5"/>
      <c r="K19" s="5"/>
    </row>
    <row r="20" spans="2:11" ht="15.75" customHeight="1" x14ac:dyDescent="0.3">
      <c r="B20" s="5"/>
      <c r="C20" s="13" t="s">
        <v>14</v>
      </c>
      <c r="D20" s="5"/>
      <c r="E20" s="5"/>
      <c r="F20" s="5"/>
      <c r="G20" s="5"/>
      <c r="H20" s="5"/>
      <c r="I20" s="5"/>
      <c r="J20" s="5"/>
      <c r="K20" s="5"/>
    </row>
    <row r="21" spans="2:11" ht="15.75" customHeight="1" x14ac:dyDescent="0.3">
      <c r="B21" s="5"/>
      <c r="C21" s="13" t="s">
        <v>15</v>
      </c>
      <c r="D21" s="5"/>
      <c r="E21" s="5"/>
      <c r="F21" s="5"/>
      <c r="G21" s="5"/>
      <c r="H21" s="5"/>
      <c r="I21" s="5"/>
      <c r="J21" s="5"/>
      <c r="K21" s="5"/>
    </row>
    <row r="22" spans="2:11" ht="15.75" customHeight="1" x14ac:dyDescent="0.25">
      <c r="B22" s="5"/>
      <c r="C22" s="5"/>
      <c r="D22" s="5"/>
      <c r="E22" s="5"/>
      <c r="F22" s="5"/>
      <c r="G22" s="5"/>
      <c r="H22" s="5"/>
      <c r="I22" s="5"/>
      <c r="J22" s="5"/>
      <c r="K22" s="5"/>
    </row>
    <row r="23" spans="2:11" ht="15.75" customHeight="1" x14ac:dyDescent="0.3">
      <c r="B23" s="16" t="s">
        <v>16</v>
      </c>
      <c r="C23" s="5"/>
      <c r="D23" s="5"/>
      <c r="E23" s="5"/>
      <c r="F23" s="5"/>
      <c r="G23" s="5"/>
      <c r="H23" s="5"/>
      <c r="I23" s="5"/>
      <c r="J23" s="5"/>
      <c r="K23" s="5"/>
    </row>
    <row r="24" spans="2:11" ht="15.75" customHeight="1" x14ac:dyDescent="0.3">
      <c r="B24" s="5"/>
      <c r="C24" s="13" t="s">
        <v>17</v>
      </c>
      <c r="D24" s="5"/>
      <c r="E24" s="5"/>
      <c r="F24" s="5"/>
      <c r="G24" s="5"/>
      <c r="H24" s="5"/>
      <c r="I24" s="5"/>
      <c r="J24" s="5"/>
      <c r="K24" s="5"/>
    </row>
    <row r="25" spans="2:11" ht="15.75" customHeight="1" x14ac:dyDescent="0.3">
      <c r="B25" s="5"/>
      <c r="C25" s="13" t="s">
        <v>18</v>
      </c>
      <c r="D25" s="5"/>
      <c r="E25" s="5"/>
      <c r="F25" s="5"/>
      <c r="G25" s="5"/>
      <c r="H25" s="5"/>
      <c r="I25" s="5"/>
      <c r="J25" s="5"/>
      <c r="K25" s="5"/>
    </row>
    <row r="26" spans="2:11" ht="15.75" customHeight="1" x14ac:dyDescent="0.3">
      <c r="B26" s="5"/>
      <c r="C26" s="3"/>
      <c r="D26" s="5"/>
      <c r="E26" s="5"/>
      <c r="F26" s="5"/>
      <c r="G26" s="5"/>
      <c r="H26" s="5"/>
      <c r="I26" s="5"/>
      <c r="J26" s="5"/>
      <c r="K26" s="5"/>
    </row>
    <row r="27" spans="2:11" ht="15.75" customHeight="1" x14ac:dyDescent="0.25">
      <c r="B27" s="5"/>
      <c r="C27" s="5"/>
      <c r="D27" s="6"/>
      <c r="E27" s="5"/>
      <c r="F27" s="5"/>
      <c r="G27" s="5"/>
      <c r="H27" s="5"/>
      <c r="I27" s="5"/>
      <c r="J27" s="5"/>
      <c r="K27" s="5"/>
    </row>
    <row r="28" spans="2:11" ht="15.75" customHeight="1" x14ac:dyDescent="0.25"/>
    <row r="29" spans="2:11" ht="15.75" customHeight="1" x14ac:dyDescent="0.25"/>
    <row r="30" spans="2:11" ht="15.75" customHeight="1" x14ac:dyDescent="0.25"/>
    <row r="31" spans="2:11" ht="15.75" customHeight="1" x14ac:dyDescent="0.25"/>
    <row r="32" spans="2: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64CCD-9D20-40B8-8664-F63128FCF660}">
  <dimension ref="A1:C34"/>
  <sheetViews>
    <sheetView tabSelected="1" topLeftCell="A7" workbookViewId="0">
      <selection activeCell="A23" sqref="A23"/>
    </sheetView>
  </sheetViews>
  <sheetFormatPr defaultRowHeight="13.2" x14ac:dyDescent="0.25"/>
  <cols>
    <col min="1" max="1" width="255.77734375" bestFit="1" customWidth="1"/>
    <col min="7" max="7" width="10.6640625" customWidth="1"/>
  </cols>
  <sheetData>
    <row r="1" spans="1:1" x14ac:dyDescent="0.25">
      <c r="A1" t="s">
        <v>1</v>
      </c>
    </row>
    <row r="2" spans="1:1" x14ac:dyDescent="0.25">
      <c r="A2" t="s">
        <v>2</v>
      </c>
    </row>
    <row r="3" spans="1:1" x14ac:dyDescent="0.25">
      <c r="A3" s="10" t="s">
        <v>157</v>
      </c>
    </row>
    <row r="4" spans="1:1" x14ac:dyDescent="0.25">
      <c r="A4" t="s">
        <v>3</v>
      </c>
    </row>
    <row r="5" spans="1:1" x14ac:dyDescent="0.25">
      <c r="A5" t="s">
        <v>115</v>
      </c>
    </row>
    <row r="6" spans="1:1" x14ac:dyDescent="0.25">
      <c r="A6" t="s">
        <v>116</v>
      </c>
    </row>
    <row r="7" spans="1:1" x14ac:dyDescent="0.25">
      <c r="A7" t="s">
        <v>4</v>
      </c>
    </row>
    <row r="8" spans="1:1" x14ac:dyDescent="0.25">
      <c r="A8" t="s">
        <v>5</v>
      </c>
    </row>
    <row r="9" spans="1:1" x14ac:dyDescent="0.25">
      <c r="A9" t="s">
        <v>117</v>
      </c>
    </row>
    <row r="10" spans="1:1" x14ac:dyDescent="0.25">
      <c r="A10" t="s">
        <v>6</v>
      </c>
    </row>
    <row r="11" spans="1:1" x14ac:dyDescent="0.25">
      <c r="A11" t="s">
        <v>118</v>
      </c>
    </row>
    <row r="12" spans="1:1" x14ac:dyDescent="0.25">
      <c r="A12" t="s">
        <v>7</v>
      </c>
    </row>
    <row r="13" spans="1:1" x14ac:dyDescent="0.25">
      <c r="A13" t="s">
        <v>119</v>
      </c>
    </row>
    <row r="14" spans="1:1" x14ac:dyDescent="0.25">
      <c r="A14" t="s">
        <v>120</v>
      </c>
    </row>
    <row r="15" spans="1:1" x14ac:dyDescent="0.25">
      <c r="A15" t="s">
        <v>8</v>
      </c>
    </row>
    <row r="16" spans="1:1" x14ac:dyDescent="0.25">
      <c r="A16" t="s">
        <v>9</v>
      </c>
    </row>
    <row r="17" spans="1:3" x14ac:dyDescent="0.25">
      <c r="A17" s="10" t="s">
        <v>121</v>
      </c>
    </row>
    <row r="18" spans="1:3" x14ac:dyDescent="0.25">
      <c r="A18" s="10" t="s">
        <v>10</v>
      </c>
    </row>
    <row r="19" spans="1:3" x14ac:dyDescent="0.25">
      <c r="A19" t="s">
        <v>11</v>
      </c>
    </row>
    <row r="20" spans="1:3" x14ac:dyDescent="0.25">
      <c r="A20" s="10" t="s">
        <v>152</v>
      </c>
    </row>
    <row r="21" spans="1:3" x14ac:dyDescent="0.25">
      <c r="A21" s="17" t="s">
        <v>161</v>
      </c>
    </row>
    <row r="22" spans="1:3" x14ac:dyDescent="0.25">
      <c r="A22" s="17" t="s">
        <v>153</v>
      </c>
    </row>
    <row r="23" spans="1:3" x14ac:dyDescent="0.25">
      <c r="A23" s="17" t="s">
        <v>12</v>
      </c>
    </row>
    <row r="24" spans="1:3" x14ac:dyDescent="0.25">
      <c r="A24" s="17" t="s">
        <v>154</v>
      </c>
    </row>
    <row r="25" spans="1:3" x14ac:dyDescent="0.25">
      <c r="A25" s="17" t="s">
        <v>13</v>
      </c>
    </row>
    <row r="26" spans="1:3" x14ac:dyDescent="0.25">
      <c r="A26" s="17" t="s">
        <v>155</v>
      </c>
    </row>
    <row r="27" spans="1:3" x14ac:dyDescent="0.25">
      <c r="A27" s="17" t="s">
        <v>158</v>
      </c>
    </row>
    <row r="28" spans="1:3" x14ac:dyDescent="0.25">
      <c r="A28" s="10" t="s">
        <v>15</v>
      </c>
      <c r="B28" t="s">
        <v>159</v>
      </c>
      <c r="C28" t="s">
        <v>160</v>
      </c>
    </row>
    <row r="29" spans="1:3" x14ac:dyDescent="0.25">
      <c r="A29" s="10" t="s">
        <v>162</v>
      </c>
    </row>
    <row r="30" spans="1:3" x14ac:dyDescent="0.25">
      <c r="A30" s="10" t="s">
        <v>16</v>
      </c>
    </row>
    <row r="31" spans="1:3" x14ac:dyDescent="0.25">
      <c r="A31" s="10" t="s">
        <v>17</v>
      </c>
    </row>
    <row r="32" spans="1:3" x14ac:dyDescent="0.25">
      <c r="A32" s="10" t="s">
        <v>164</v>
      </c>
    </row>
    <row r="33" spans="1:1" x14ac:dyDescent="0.25">
      <c r="A33" s="10" t="s">
        <v>18</v>
      </c>
    </row>
    <row r="34" spans="1:1" x14ac:dyDescent="0.25">
      <c r="A34" s="10" t="s">
        <v>164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997"/>
  <sheetViews>
    <sheetView workbookViewId="0">
      <selection activeCell="H13" sqref="H13"/>
    </sheetView>
  </sheetViews>
  <sheetFormatPr defaultColWidth="12.6640625" defaultRowHeight="15" customHeight="1" x14ac:dyDescent="0.25"/>
  <cols>
    <col min="1" max="2" width="12.6640625" customWidth="1"/>
    <col min="3" max="3" width="15.33203125" customWidth="1"/>
    <col min="4" max="4" width="13.6640625" customWidth="1"/>
    <col min="5" max="5" width="12.6640625" style="20" customWidth="1"/>
    <col min="6" max="8" width="12.6640625" customWidth="1"/>
    <col min="9" max="9" width="9.77734375" style="32" customWidth="1"/>
    <col min="10" max="11" width="12.6640625" customWidth="1"/>
    <col min="12" max="12" width="12.6640625" style="29"/>
    <col min="13" max="13" width="20.77734375" bestFit="1" customWidth="1"/>
    <col min="14" max="14" width="12.6640625" style="26"/>
  </cols>
  <sheetData>
    <row r="1" spans="1:20" ht="15.75" customHeight="1" thickBot="1" x14ac:dyDescent="0.3">
      <c r="A1" s="7" t="s">
        <v>19</v>
      </c>
      <c r="B1" s="15" t="s">
        <v>20</v>
      </c>
      <c r="C1" s="15" t="s">
        <v>156</v>
      </c>
      <c r="D1" s="7" t="s">
        <v>21</v>
      </c>
      <c r="E1" s="22" t="s">
        <v>22</v>
      </c>
      <c r="F1" s="7" t="s">
        <v>23</v>
      </c>
      <c r="G1" s="7" t="s">
        <v>24</v>
      </c>
      <c r="H1" s="15" t="s">
        <v>148</v>
      </c>
      <c r="I1" s="30" t="s">
        <v>149</v>
      </c>
      <c r="J1" s="15" t="s">
        <v>150</v>
      </c>
      <c r="K1" s="15" t="s">
        <v>123</v>
      </c>
      <c r="L1" s="27" t="s">
        <v>122</v>
      </c>
      <c r="M1" s="15" t="s">
        <v>151</v>
      </c>
      <c r="N1" s="25" t="s">
        <v>163</v>
      </c>
    </row>
    <row r="2" spans="1:20" ht="15.75" customHeight="1" thickBot="1" x14ac:dyDescent="0.3">
      <c r="A2" s="5" t="s">
        <v>25</v>
      </c>
      <c r="B2" s="18" t="s">
        <v>26</v>
      </c>
      <c r="C2" s="5" t="str">
        <f>PROPER(Table1[[#This Row],[Product Name]])</f>
        <v>Laptop</v>
      </c>
      <c r="D2" s="5" t="s">
        <v>27</v>
      </c>
      <c r="E2" s="21">
        <v>1000</v>
      </c>
      <c r="F2" s="5">
        <v>30</v>
      </c>
      <c r="G2" s="5" t="s">
        <v>28</v>
      </c>
      <c r="H2" s="14">
        <v>28</v>
      </c>
      <c r="I2" s="31">
        <f>IF(Table1[[#This Row],[Column1]]&lt;10, _xlfn.CONCAT("0",Table1[[#This Row],[Column1]]), Table1[[#This Row],[Column1]])</f>
        <v>28</v>
      </c>
      <c r="J2" s="14" t="s">
        <v>124</v>
      </c>
      <c r="K2" s="14" t="s">
        <v>125</v>
      </c>
      <c r="L2" s="28" t="str">
        <f>Table1[[#This Row],[Column2]]&amp;"-"&amp;Table1[[#This Row],[Column3]]</f>
        <v>28-JAN</v>
      </c>
      <c r="M2" s="14" t="str">
        <f>_xlfn.CONCAT(Table1[[#This Row],[Brand Name]],Table1[[#This Row],[Product Name1]])</f>
        <v>DellLaptop</v>
      </c>
      <c r="N2" s="33">
        <f t="shared" ref="N2:N32" si="0">DATE(2026,MONTH(DATEVALUE("1-"&amp;MID(L2,4,3))),LEFT(L2,2))</f>
        <v>46050</v>
      </c>
    </row>
    <row r="3" spans="1:20" ht="15.75" customHeight="1" thickBot="1" x14ac:dyDescent="0.3">
      <c r="A3" s="8" t="s">
        <v>29</v>
      </c>
      <c r="B3" s="19" t="s">
        <v>30</v>
      </c>
      <c r="C3" s="8" t="str">
        <f>PROPER(Table1[[#This Row],[Product Name]])</f>
        <v>Sneakers</v>
      </c>
      <c r="D3" s="8" t="s">
        <v>31</v>
      </c>
      <c r="E3" s="23">
        <v>80</v>
      </c>
      <c r="F3" s="8">
        <v>15</v>
      </c>
      <c r="G3" s="8" t="s">
        <v>32</v>
      </c>
      <c r="H3" s="14">
        <v>15</v>
      </c>
      <c r="I3" s="31">
        <f>IF(Table1[[#This Row],[Column1]]&lt;10, _xlfn.CONCAT("0",Table1[[#This Row],[Column1]]), Table1[[#This Row],[Column1]])</f>
        <v>15</v>
      </c>
      <c r="J3" s="14" t="s">
        <v>126</v>
      </c>
      <c r="K3" s="14" t="s">
        <v>125</v>
      </c>
      <c r="L3" s="28" t="str">
        <f>Table1[[#This Row],[Column2]]&amp;"-"&amp;Table1[[#This Row],[Column3]]</f>
        <v>15-FEB</v>
      </c>
      <c r="M3" s="14" t="str">
        <f>_xlfn.CONCAT(Table1[[#This Row],[Brand Name]],Table1[[#This Row],[Product Name1]])</f>
        <v>NikeSneakers</v>
      </c>
      <c r="N3" s="33">
        <f t="shared" si="0"/>
        <v>46068</v>
      </c>
      <c r="O3" s="5"/>
      <c r="Q3" s="5"/>
      <c r="R3" s="5"/>
      <c r="S3" s="5"/>
      <c r="T3" s="5"/>
    </row>
    <row r="4" spans="1:20" ht="15.75" customHeight="1" thickBot="1" x14ac:dyDescent="0.3">
      <c r="A4" s="5" t="s">
        <v>33</v>
      </c>
      <c r="B4" s="18" t="s">
        <v>34</v>
      </c>
      <c r="C4" s="5" t="str">
        <f>PROPER(Table1[[#This Row],[Product Name]])</f>
        <v>Coffee Maker</v>
      </c>
      <c r="D4" s="5" t="s">
        <v>35</v>
      </c>
      <c r="E4" s="21">
        <v>130</v>
      </c>
      <c r="F4" s="5">
        <v>40</v>
      </c>
      <c r="G4" s="5" t="s">
        <v>36</v>
      </c>
      <c r="H4" s="14">
        <v>3</v>
      </c>
      <c r="I4" s="31" t="str">
        <f>IF(Table1[[#This Row],[Column1]]&lt;10, _xlfn.CONCAT("0",Table1[[#This Row],[Column1]]), Table1[[#This Row],[Column1]])</f>
        <v>03</v>
      </c>
      <c r="J4" s="14" t="s">
        <v>127</v>
      </c>
      <c r="K4" s="14" t="s">
        <v>125</v>
      </c>
      <c r="L4" s="28" t="str">
        <f>Table1[[#This Row],[Column2]]&amp;"-"&amp;Table1[[#This Row],[Column3]]</f>
        <v>03-MAR</v>
      </c>
      <c r="M4" s="14" t="str">
        <f>_xlfn.CONCAT(Table1[[#This Row],[Brand Name]],Table1[[#This Row],[Product Name1]])</f>
        <v>KeurigCoffee Maker</v>
      </c>
      <c r="N4" s="33">
        <f t="shared" si="0"/>
        <v>46084</v>
      </c>
      <c r="O4" s="5"/>
      <c r="Q4" s="5"/>
      <c r="R4" s="5"/>
      <c r="S4" s="5"/>
      <c r="T4" s="5"/>
    </row>
    <row r="5" spans="1:20" ht="15.75" customHeight="1" thickBot="1" x14ac:dyDescent="0.3">
      <c r="A5" s="8" t="s">
        <v>37</v>
      </c>
      <c r="B5" s="19" t="s">
        <v>38</v>
      </c>
      <c r="C5" s="8" t="str">
        <f>PROPER(Table1[[#This Row],[Product Name]])</f>
        <v>Smartphone</v>
      </c>
      <c r="D5" s="8" t="s">
        <v>39</v>
      </c>
      <c r="E5" s="23">
        <v>900</v>
      </c>
      <c r="F5" s="8">
        <v>25</v>
      </c>
      <c r="G5" s="8" t="s">
        <v>28</v>
      </c>
      <c r="H5" s="14">
        <v>11</v>
      </c>
      <c r="I5" s="31">
        <f>IF(Table1[[#This Row],[Column1]]&lt;10, _xlfn.CONCAT("0",Table1[[#This Row],[Column1]]), Table1[[#This Row],[Column1]])</f>
        <v>11</v>
      </c>
      <c r="J5" s="14" t="s">
        <v>128</v>
      </c>
      <c r="K5" s="14" t="s">
        <v>125</v>
      </c>
      <c r="L5" s="28" t="str">
        <f>Table1[[#This Row],[Column2]]&amp;"-"&amp;Table1[[#This Row],[Column3]]</f>
        <v>11-APR</v>
      </c>
      <c r="M5" s="14" t="str">
        <f>_xlfn.CONCAT(Table1[[#This Row],[Brand Name]],Table1[[#This Row],[Product Name1]])</f>
        <v>SamsungSmartphone</v>
      </c>
      <c r="N5" s="33">
        <f t="shared" si="0"/>
        <v>46123</v>
      </c>
      <c r="O5" s="5"/>
      <c r="Q5" s="5"/>
      <c r="R5" s="5"/>
      <c r="S5" s="5"/>
      <c r="T5" s="5"/>
    </row>
    <row r="6" spans="1:20" ht="15.75" customHeight="1" thickBot="1" x14ac:dyDescent="0.3">
      <c r="A6" s="5" t="s">
        <v>40</v>
      </c>
      <c r="B6" s="18" t="s">
        <v>41</v>
      </c>
      <c r="C6" s="5" t="str">
        <f>PROPER(Table1[[#This Row],[Product Name]])</f>
        <v>Backpack</v>
      </c>
      <c r="D6" s="5" t="s">
        <v>42</v>
      </c>
      <c r="E6" s="21">
        <v>70</v>
      </c>
      <c r="F6" s="5">
        <v>20</v>
      </c>
      <c r="G6" s="5"/>
      <c r="H6" s="14">
        <v>22</v>
      </c>
      <c r="I6" s="31">
        <f>IF(Table1[[#This Row],[Column1]]&lt;10, _xlfn.CONCAT("0",Table1[[#This Row],[Column1]]), Table1[[#This Row],[Column1]])</f>
        <v>22</v>
      </c>
      <c r="J6" s="14" t="s">
        <v>129</v>
      </c>
      <c r="K6" s="14" t="s">
        <v>125</v>
      </c>
      <c r="L6" s="28" t="str">
        <f>Table1[[#This Row],[Column2]]&amp;"-"&amp;Table1[[#This Row],[Column3]]</f>
        <v>22-MAY</v>
      </c>
      <c r="M6" s="14" t="str">
        <f>_xlfn.CONCAT(Table1[[#This Row],[Brand Name]],Table1[[#This Row],[Product Name1]])</f>
        <v>North FaceBackpack</v>
      </c>
      <c r="N6" s="33">
        <f t="shared" si="0"/>
        <v>46164</v>
      </c>
    </row>
    <row r="7" spans="1:20" ht="15.75" customHeight="1" thickBot="1" x14ac:dyDescent="0.3">
      <c r="A7" s="8" t="s">
        <v>43</v>
      </c>
      <c r="B7" s="19" t="s">
        <v>44</v>
      </c>
      <c r="C7" s="8" t="str">
        <f>PROPER(Table1[[#This Row],[Product Name]])</f>
        <v>Headphones</v>
      </c>
      <c r="D7" s="8" t="s">
        <v>45</v>
      </c>
      <c r="E7" s="23"/>
      <c r="F7" s="8">
        <v>45</v>
      </c>
      <c r="G7" s="8" t="s">
        <v>28</v>
      </c>
      <c r="H7" s="14">
        <v>7</v>
      </c>
      <c r="I7" s="31" t="str">
        <f>IF(Table1[[#This Row],[Column1]]&lt;10, _xlfn.CONCAT("0",Table1[[#This Row],[Column1]]), Table1[[#This Row],[Column1]])</f>
        <v>07</v>
      </c>
      <c r="J7" s="14" t="s">
        <v>130</v>
      </c>
      <c r="K7" s="14" t="s">
        <v>131</v>
      </c>
      <c r="L7" s="28" t="str">
        <f>Table1[[#This Row],[Column2]]&amp;"-"&amp;Table1[[#This Row],[Column3]]</f>
        <v>07-JUN</v>
      </c>
      <c r="M7" s="14" t="str">
        <f>_xlfn.CONCAT(Table1[[#This Row],[Brand Name]],Table1[[#This Row],[Product Name1]])</f>
        <v>SonyHeadphones</v>
      </c>
      <c r="N7" s="33">
        <f t="shared" si="0"/>
        <v>46180</v>
      </c>
    </row>
    <row r="8" spans="1:20" ht="15.75" customHeight="1" thickBot="1" x14ac:dyDescent="0.3">
      <c r="A8" s="5" t="s">
        <v>46</v>
      </c>
      <c r="B8" s="18" t="s">
        <v>47</v>
      </c>
      <c r="C8" s="5" t="str">
        <f>PROPER(Table1[[#This Row],[Product Name]])</f>
        <v>T-Shirt</v>
      </c>
      <c r="D8" s="5" t="s">
        <v>48</v>
      </c>
      <c r="E8" s="21">
        <v>30</v>
      </c>
      <c r="F8" s="5">
        <v>5</v>
      </c>
      <c r="G8" s="5" t="s">
        <v>32</v>
      </c>
      <c r="H8" s="14">
        <v>19</v>
      </c>
      <c r="I8" s="31">
        <f>IF(Table1[[#This Row],[Column1]]&lt;10, _xlfn.CONCAT("0",Table1[[#This Row],[Column1]]), Table1[[#This Row],[Column1]])</f>
        <v>19</v>
      </c>
      <c r="J8" s="14" t="s">
        <v>132</v>
      </c>
      <c r="K8" s="14" t="s">
        <v>131</v>
      </c>
      <c r="L8" s="28" t="str">
        <f>Table1[[#This Row],[Column2]]&amp;"-"&amp;Table1[[#This Row],[Column3]]</f>
        <v>19-JUL</v>
      </c>
      <c r="M8" s="14" t="str">
        <f>_xlfn.CONCAT(Table1[[#This Row],[Brand Name]],Table1[[#This Row],[Product Name1]])</f>
        <v>AdidasT-Shirt</v>
      </c>
      <c r="N8" s="33">
        <f t="shared" si="0"/>
        <v>46222</v>
      </c>
    </row>
    <row r="9" spans="1:20" ht="15.75" customHeight="1" thickBot="1" x14ac:dyDescent="0.3">
      <c r="A9" s="8" t="s">
        <v>49</v>
      </c>
      <c r="B9" s="19" t="s">
        <v>50</v>
      </c>
      <c r="C9" s="8" t="str">
        <f>PROPER(Table1[[#This Row],[Product Name]])</f>
        <v>Blender</v>
      </c>
      <c r="D9" s="8" t="s">
        <v>51</v>
      </c>
      <c r="E9" s="23">
        <v>90</v>
      </c>
      <c r="F9" s="8">
        <v>35</v>
      </c>
      <c r="G9" s="8" t="s">
        <v>36</v>
      </c>
      <c r="H9" s="14">
        <v>23</v>
      </c>
      <c r="I9" s="31">
        <f>IF(Table1[[#This Row],[Column1]]&lt;10, _xlfn.CONCAT("0",Table1[[#This Row],[Column1]]), Table1[[#This Row],[Column1]])</f>
        <v>23</v>
      </c>
      <c r="J9" s="14" t="s">
        <v>133</v>
      </c>
      <c r="K9" s="14" t="s">
        <v>131</v>
      </c>
      <c r="L9" s="28" t="str">
        <f>Table1[[#This Row],[Column2]]&amp;"-"&amp;Table1[[#This Row],[Column3]]</f>
        <v>23-AUG</v>
      </c>
      <c r="M9" s="14" t="str">
        <f>_xlfn.CONCAT(Table1[[#This Row],[Brand Name]],Table1[[#This Row],[Product Name1]])</f>
        <v>NinjaBlender</v>
      </c>
      <c r="N9" s="33">
        <f t="shared" si="0"/>
        <v>46257</v>
      </c>
    </row>
    <row r="10" spans="1:20" ht="15.75" customHeight="1" thickBot="1" x14ac:dyDescent="0.3">
      <c r="A10" s="5" t="s">
        <v>52</v>
      </c>
      <c r="B10" s="18" t="s">
        <v>53</v>
      </c>
      <c r="C10" s="5" t="str">
        <f>PROPER(Table1[[#This Row],[Product Name]])</f>
        <v>Tablet</v>
      </c>
      <c r="D10" s="5" t="s">
        <v>54</v>
      </c>
      <c r="E10" s="21">
        <v>500</v>
      </c>
      <c r="F10" s="5">
        <v>50</v>
      </c>
      <c r="G10" s="5" t="s">
        <v>28</v>
      </c>
      <c r="H10" s="14">
        <v>5</v>
      </c>
      <c r="I10" s="31" t="str">
        <f>IF(Table1[[#This Row],[Column1]]&lt;10, _xlfn.CONCAT("0",Table1[[#This Row],[Column1]]), Table1[[#This Row],[Column1]])</f>
        <v>05</v>
      </c>
      <c r="J10" s="14" t="s">
        <v>134</v>
      </c>
      <c r="K10" s="14" t="s">
        <v>131</v>
      </c>
      <c r="L10" s="28" t="str">
        <f>Table1[[#This Row],[Column2]]&amp;"-"&amp;Table1[[#This Row],[Column3]]</f>
        <v>05-SEP</v>
      </c>
      <c r="M10" s="14" t="str">
        <f>_xlfn.CONCAT(Table1[[#This Row],[Brand Name]],Table1[[#This Row],[Product Name1]])</f>
        <v>AppleTablet</v>
      </c>
      <c r="N10" s="33">
        <f t="shared" si="0"/>
        <v>46270</v>
      </c>
    </row>
    <row r="11" spans="1:20" ht="15.75" customHeight="1" thickBot="1" x14ac:dyDescent="0.3">
      <c r="A11" s="8" t="s">
        <v>55</v>
      </c>
      <c r="B11" s="19" t="s">
        <v>56</v>
      </c>
      <c r="C11" s="8" t="str">
        <f>PROPER(Table1[[#This Row],[Product Name]])</f>
        <v>Hiking Boots</v>
      </c>
      <c r="D11" s="8" t="s">
        <v>57</v>
      </c>
      <c r="E11" s="23">
        <v>130</v>
      </c>
      <c r="F11" s="8">
        <v>10</v>
      </c>
      <c r="G11" s="8" t="s">
        <v>58</v>
      </c>
      <c r="H11" s="14">
        <v>14</v>
      </c>
      <c r="I11" s="31">
        <f>IF(Table1[[#This Row],[Column1]]&lt;10, _xlfn.CONCAT("0",Table1[[#This Row],[Column1]]), Table1[[#This Row],[Column1]])</f>
        <v>14</v>
      </c>
      <c r="J11" s="14" t="s">
        <v>135</v>
      </c>
      <c r="K11" s="14" t="s">
        <v>131</v>
      </c>
      <c r="L11" s="28" t="str">
        <f>Table1[[#This Row],[Column2]]&amp;"-"&amp;Table1[[#This Row],[Column3]]</f>
        <v>14-OCT</v>
      </c>
      <c r="M11" s="14" t="str">
        <f>_xlfn.CONCAT(Table1[[#This Row],[Brand Name]],Table1[[#This Row],[Product Name1]])</f>
        <v>TimberlandHiking Boots</v>
      </c>
      <c r="N11" s="33">
        <f t="shared" si="0"/>
        <v>46309</v>
      </c>
    </row>
    <row r="12" spans="1:20" ht="15.75" customHeight="1" thickBot="1" x14ac:dyDescent="0.3">
      <c r="A12" s="5" t="s">
        <v>59</v>
      </c>
      <c r="B12" s="18" t="s">
        <v>60</v>
      </c>
      <c r="C12" s="5" t="str">
        <f>PROPER(Table1[[#This Row],[Product Name]])</f>
        <v>Laptop</v>
      </c>
      <c r="D12" s="5" t="s">
        <v>61</v>
      </c>
      <c r="E12" s="21">
        <v>950</v>
      </c>
      <c r="F12" s="5">
        <v>25</v>
      </c>
      <c r="G12" s="5" t="s">
        <v>28</v>
      </c>
      <c r="H12" s="14">
        <v>17</v>
      </c>
      <c r="I12" s="31">
        <f>IF(Table1[[#This Row],[Column1]]&lt;10, _xlfn.CONCAT("0",Table1[[#This Row],[Column1]]), Table1[[#This Row],[Column1]])</f>
        <v>17</v>
      </c>
      <c r="J12" s="14" t="s">
        <v>130</v>
      </c>
      <c r="K12" s="14" t="s">
        <v>136</v>
      </c>
      <c r="L12" s="28" t="str">
        <f>Table1[[#This Row],[Column2]]&amp;"-"&amp;Table1[[#This Row],[Column3]]</f>
        <v>17-JUN</v>
      </c>
      <c r="M12" s="14" t="str">
        <f>_xlfn.CONCAT(Table1[[#This Row],[Brand Name]],Table1[[#This Row],[Product Name1]])</f>
        <v>HPLaptop</v>
      </c>
      <c r="N12" s="33">
        <f t="shared" si="0"/>
        <v>46190</v>
      </c>
    </row>
    <row r="13" spans="1:20" ht="15.75" customHeight="1" thickBot="1" x14ac:dyDescent="0.3">
      <c r="A13" s="8" t="s">
        <v>62</v>
      </c>
      <c r="B13" s="19" t="s">
        <v>30</v>
      </c>
      <c r="C13" s="8" t="str">
        <f>PROPER(Table1[[#This Row],[Product Name]])</f>
        <v>Sneakers</v>
      </c>
      <c r="D13" s="8" t="s">
        <v>48</v>
      </c>
      <c r="E13" s="23">
        <v>90</v>
      </c>
      <c r="F13" s="8">
        <v>40</v>
      </c>
      <c r="G13" s="8"/>
      <c r="H13" s="14">
        <v>25</v>
      </c>
      <c r="I13" s="31">
        <f>IF(Table1[[#This Row],[Column1]]&lt;10, _xlfn.CONCAT("0",Table1[[#This Row],[Column1]]), Table1[[#This Row],[Column1]])</f>
        <v>25</v>
      </c>
      <c r="J13" s="14" t="s">
        <v>137</v>
      </c>
      <c r="K13" s="14" t="s">
        <v>138</v>
      </c>
      <c r="L13" s="28" t="str">
        <f>Table1[[#This Row],[Column2]]&amp;"-"&amp;Table1[[#This Row],[Column3]]</f>
        <v>25-NOV</v>
      </c>
      <c r="M13" s="14" t="str">
        <f>_xlfn.CONCAT(Table1[[#This Row],[Brand Name]],Table1[[#This Row],[Product Name1]])</f>
        <v>AdidasSneakers</v>
      </c>
      <c r="N13" s="33">
        <f t="shared" si="0"/>
        <v>46351</v>
      </c>
    </row>
    <row r="14" spans="1:20" ht="15.75" customHeight="1" thickBot="1" x14ac:dyDescent="0.3">
      <c r="A14" s="5" t="s">
        <v>63</v>
      </c>
      <c r="B14" s="18" t="s">
        <v>34</v>
      </c>
      <c r="C14" s="5" t="str">
        <f>PROPER(Table1[[#This Row],[Product Name]])</f>
        <v>Coffee Maker</v>
      </c>
      <c r="D14" s="5" t="s">
        <v>64</v>
      </c>
      <c r="E14" s="21">
        <v>120</v>
      </c>
      <c r="F14" s="5">
        <v>35</v>
      </c>
      <c r="G14" s="5"/>
      <c r="H14" s="14">
        <v>8</v>
      </c>
      <c r="I14" s="31" t="str">
        <f>IF(Table1[[#This Row],[Column1]]&lt;10, _xlfn.CONCAT("0",Table1[[#This Row],[Column1]]), Table1[[#This Row],[Column1]])</f>
        <v>08</v>
      </c>
      <c r="J14" s="14" t="s">
        <v>139</v>
      </c>
      <c r="K14" s="14" t="s">
        <v>140</v>
      </c>
      <c r="L14" s="28" t="str">
        <f>Table1[[#This Row],[Column2]]&amp;"-"&amp;Table1[[#This Row],[Column3]]</f>
        <v>08-DEC</v>
      </c>
      <c r="M14" s="14" t="str">
        <f>_xlfn.CONCAT(Table1[[#This Row],[Brand Name]],Table1[[#This Row],[Product Name1]])</f>
        <v>NespressoCoffee Maker</v>
      </c>
      <c r="N14" s="33">
        <f t="shared" si="0"/>
        <v>46364</v>
      </c>
    </row>
    <row r="15" spans="1:20" ht="15.75" customHeight="1" thickBot="1" x14ac:dyDescent="0.3">
      <c r="A15" s="8" t="s">
        <v>65</v>
      </c>
      <c r="B15" s="19" t="s">
        <v>66</v>
      </c>
      <c r="C15" s="8" t="str">
        <f>PROPER(Table1[[#This Row],[Product Name]])</f>
        <v>Smartwatch</v>
      </c>
      <c r="D15" s="8" t="s">
        <v>67</v>
      </c>
      <c r="E15" s="23">
        <v>150</v>
      </c>
      <c r="F15" s="8">
        <v>15</v>
      </c>
      <c r="G15" s="8" t="s">
        <v>28</v>
      </c>
      <c r="H15" s="14">
        <v>18</v>
      </c>
      <c r="I15" s="31">
        <f>IF(Table1[[#This Row],[Column1]]&lt;10, _xlfn.CONCAT("0",Table1[[#This Row],[Column1]]), Table1[[#This Row],[Column1]])</f>
        <v>18</v>
      </c>
      <c r="J15" s="14" t="s">
        <v>126</v>
      </c>
      <c r="K15" s="14" t="s">
        <v>141</v>
      </c>
      <c r="L15" s="28" t="str">
        <f>Table1[[#This Row],[Column2]]&amp;"-"&amp;Table1[[#This Row],[Column3]]</f>
        <v>18-FEB</v>
      </c>
      <c r="M15" s="14" t="str">
        <f>_xlfn.CONCAT(Table1[[#This Row],[Brand Name]],Table1[[#This Row],[Product Name1]])</f>
        <v>FitbitSmartwatch</v>
      </c>
      <c r="N15" s="33">
        <f t="shared" si="0"/>
        <v>46071</v>
      </c>
    </row>
    <row r="16" spans="1:20" ht="15.75" customHeight="1" thickBot="1" x14ac:dyDescent="0.3">
      <c r="A16" s="5" t="s">
        <v>68</v>
      </c>
      <c r="B16" s="18" t="s">
        <v>69</v>
      </c>
      <c r="C16" s="5" t="str">
        <f>PROPER(Table1[[#This Row],[Product Name]])</f>
        <v>Headphones</v>
      </c>
      <c r="D16" s="5" t="s">
        <v>70</v>
      </c>
      <c r="E16" s="21">
        <v>250</v>
      </c>
      <c r="F16" s="5">
        <v>20</v>
      </c>
      <c r="G16" s="5" t="s">
        <v>28</v>
      </c>
      <c r="H16" s="14">
        <v>16</v>
      </c>
      <c r="I16" s="31">
        <f>IF(Table1[[#This Row],[Column1]]&lt;10, _xlfn.CONCAT("0",Table1[[#This Row],[Column1]]), Table1[[#This Row],[Column1]])</f>
        <v>16</v>
      </c>
      <c r="J16" s="14" t="s">
        <v>128</v>
      </c>
      <c r="K16" s="14" t="s">
        <v>142</v>
      </c>
      <c r="L16" s="28" t="str">
        <f>Table1[[#This Row],[Column2]]&amp;"-"&amp;Table1[[#This Row],[Column3]]</f>
        <v>16-APR</v>
      </c>
      <c r="M16" s="14" t="str">
        <f>_xlfn.CONCAT(Table1[[#This Row],[Brand Name]],Table1[[#This Row],[Product Name1]])</f>
        <v>BoseHeadphones</v>
      </c>
      <c r="N16" s="33">
        <f t="shared" si="0"/>
        <v>46128</v>
      </c>
    </row>
    <row r="17" spans="1:14" ht="15.75" customHeight="1" thickBot="1" x14ac:dyDescent="0.3">
      <c r="A17" s="8" t="s">
        <v>71</v>
      </c>
      <c r="B17" s="19" t="s">
        <v>72</v>
      </c>
      <c r="C17" s="8" t="str">
        <f>PROPER(Table1[[#This Row],[Product Name]])</f>
        <v>Laptop Bag</v>
      </c>
      <c r="D17" s="8" t="s">
        <v>73</v>
      </c>
      <c r="E17" s="23">
        <v>50</v>
      </c>
      <c r="F17" s="8">
        <v>35</v>
      </c>
      <c r="G17" s="8" t="s">
        <v>74</v>
      </c>
      <c r="H17" s="14">
        <v>21</v>
      </c>
      <c r="I17" s="31">
        <f>IF(Table1[[#This Row],[Column1]]&lt;10, _xlfn.CONCAT("0",Table1[[#This Row],[Column1]]), Table1[[#This Row],[Column1]])</f>
        <v>21</v>
      </c>
      <c r="J17" s="14" t="s">
        <v>133</v>
      </c>
      <c r="K17" s="14" t="s">
        <v>141</v>
      </c>
      <c r="L17" s="28" t="str">
        <f>Table1[[#This Row],[Column2]]&amp;"-"&amp;Table1[[#This Row],[Column3]]</f>
        <v>21-AUG</v>
      </c>
      <c r="M17" s="14" t="str">
        <f>_xlfn.CONCAT(Table1[[#This Row],[Brand Name]],Table1[[#This Row],[Product Name1]])</f>
        <v>SamsoniteLaptop Bag</v>
      </c>
      <c r="N17" s="33">
        <f t="shared" si="0"/>
        <v>46255</v>
      </c>
    </row>
    <row r="18" spans="1:14" ht="15.75" customHeight="1" thickBot="1" x14ac:dyDescent="0.3">
      <c r="A18" s="5" t="s">
        <v>75</v>
      </c>
      <c r="B18" s="18" t="s">
        <v>66</v>
      </c>
      <c r="C18" s="5" t="str">
        <f>PROPER(Table1[[#This Row],[Product Name]])</f>
        <v>Smartwatch</v>
      </c>
      <c r="D18" s="5" t="s">
        <v>76</v>
      </c>
      <c r="E18" s="21">
        <v>160</v>
      </c>
      <c r="F18" s="5">
        <v>15</v>
      </c>
      <c r="G18" s="5" t="s">
        <v>28</v>
      </c>
      <c r="H18" s="14">
        <v>20</v>
      </c>
      <c r="I18" s="31">
        <f>IF(Table1[[#This Row],[Column1]]&lt;10, _xlfn.CONCAT("0",Table1[[#This Row],[Column1]]), Table1[[#This Row],[Column1]])</f>
        <v>20</v>
      </c>
      <c r="J18" s="14" t="s">
        <v>133</v>
      </c>
      <c r="K18" s="14" t="s">
        <v>143</v>
      </c>
      <c r="L18" s="28" t="str">
        <f>Table1[[#This Row],[Column2]]&amp;"-"&amp;Table1[[#This Row],[Column3]]</f>
        <v>20-AUG</v>
      </c>
      <c r="M18" s="14" t="str">
        <f>_xlfn.CONCAT(Table1[[#This Row],[Brand Name]],Table1[[#This Row],[Product Name1]])</f>
        <v>HuaweiSmartwatch</v>
      </c>
      <c r="N18" s="33">
        <f t="shared" si="0"/>
        <v>46254</v>
      </c>
    </row>
    <row r="19" spans="1:14" ht="15.75" customHeight="1" thickBot="1" x14ac:dyDescent="0.3">
      <c r="A19" s="8" t="s">
        <v>77</v>
      </c>
      <c r="B19" s="19" t="s">
        <v>26</v>
      </c>
      <c r="C19" s="8" t="str">
        <f>PROPER(Table1[[#This Row],[Product Name]])</f>
        <v>Laptop</v>
      </c>
      <c r="D19" s="8" t="s">
        <v>78</v>
      </c>
      <c r="E19" s="23">
        <v>980</v>
      </c>
      <c r="F19" s="8">
        <v>10</v>
      </c>
      <c r="G19" s="8" t="s">
        <v>28</v>
      </c>
      <c r="H19" s="14">
        <v>27</v>
      </c>
      <c r="I19" s="31">
        <f>IF(Table1[[#This Row],[Column1]]&lt;10, _xlfn.CONCAT("0",Table1[[#This Row],[Column1]]), Table1[[#This Row],[Column1]])</f>
        <v>27</v>
      </c>
      <c r="J19" s="14" t="s">
        <v>124</v>
      </c>
      <c r="K19" s="14" t="s">
        <v>144</v>
      </c>
      <c r="L19" s="28" t="str">
        <f>Table1[[#This Row],[Column2]]&amp;"-"&amp;Table1[[#This Row],[Column3]]</f>
        <v>27-JAN</v>
      </c>
      <c r="M19" s="14" t="str">
        <f>_xlfn.CONCAT(Table1[[#This Row],[Brand Name]],Table1[[#This Row],[Product Name1]])</f>
        <v>AsusLaptop</v>
      </c>
      <c r="N19" s="33">
        <f t="shared" si="0"/>
        <v>46049</v>
      </c>
    </row>
    <row r="20" spans="1:14" ht="15.75" customHeight="1" thickBot="1" x14ac:dyDescent="0.3">
      <c r="A20" s="5" t="s">
        <v>79</v>
      </c>
      <c r="B20" s="18" t="s">
        <v>80</v>
      </c>
      <c r="C20" s="5" t="str">
        <f>PROPER(Table1[[#This Row],[Product Name]])</f>
        <v>Sunglasses</v>
      </c>
      <c r="D20" s="5" t="s">
        <v>81</v>
      </c>
      <c r="E20" s="21">
        <v>150</v>
      </c>
      <c r="F20" s="5">
        <v>15</v>
      </c>
      <c r="G20" s="5" t="s">
        <v>32</v>
      </c>
      <c r="H20" s="14">
        <v>1</v>
      </c>
      <c r="I20" s="31" t="str">
        <f>IF(Table1[[#This Row],[Column1]]&lt;10, _xlfn.CONCAT("0",Table1[[#This Row],[Column1]]), Table1[[#This Row],[Column1]])</f>
        <v>01</v>
      </c>
      <c r="J20" s="14" t="s">
        <v>127</v>
      </c>
      <c r="K20" s="14" t="s">
        <v>131</v>
      </c>
      <c r="L20" s="28" t="str">
        <f>Table1[[#This Row],[Column2]]&amp;"-"&amp;Table1[[#This Row],[Column3]]</f>
        <v>01-MAR</v>
      </c>
      <c r="M20" s="14" t="str">
        <f>_xlfn.CONCAT(Table1[[#This Row],[Brand Name]],Table1[[#This Row],[Product Name1]])</f>
        <v>OakleySunglasses</v>
      </c>
      <c r="N20" s="33">
        <f t="shared" si="0"/>
        <v>46082</v>
      </c>
    </row>
    <row r="21" spans="1:14" ht="15.75" customHeight="1" thickBot="1" x14ac:dyDescent="0.3">
      <c r="A21" s="8" t="s">
        <v>82</v>
      </c>
      <c r="B21" s="19" t="s">
        <v>83</v>
      </c>
      <c r="C21" s="8" t="str">
        <f>PROPER(Table1[[#This Row],[Product Name]])</f>
        <v>Camping Tent</v>
      </c>
      <c r="D21" s="8" t="s">
        <v>84</v>
      </c>
      <c r="E21" s="23"/>
      <c r="F21" s="8">
        <v>10</v>
      </c>
      <c r="G21" s="8" t="s">
        <v>58</v>
      </c>
      <c r="H21" s="14">
        <v>14</v>
      </c>
      <c r="I21" s="31">
        <f>IF(Table1[[#This Row],[Column1]]&lt;10, _xlfn.CONCAT("0",Table1[[#This Row],[Column1]]), Table1[[#This Row],[Column1]])</f>
        <v>14</v>
      </c>
      <c r="J21" s="14" t="s">
        <v>133</v>
      </c>
      <c r="K21" s="14" t="s">
        <v>125</v>
      </c>
      <c r="L21" s="28" t="str">
        <f>Table1[[#This Row],[Column2]]&amp;"-"&amp;Table1[[#This Row],[Column3]]</f>
        <v>14-AUG</v>
      </c>
      <c r="M21" s="14" t="str">
        <f>_xlfn.CONCAT(Table1[[#This Row],[Brand Name]],Table1[[#This Row],[Product Name1]])</f>
        <v>ColemanCamping Tent</v>
      </c>
      <c r="N21" s="33">
        <f t="shared" si="0"/>
        <v>46248</v>
      </c>
    </row>
    <row r="22" spans="1:14" ht="15.75" customHeight="1" thickBot="1" x14ac:dyDescent="0.3">
      <c r="A22" s="5" t="s">
        <v>85</v>
      </c>
      <c r="B22" s="18" t="s">
        <v>86</v>
      </c>
      <c r="C22" s="5" t="str">
        <f>PROPER(Table1[[#This Row],[Product Name]])</f>
        <v>Camera</v>
      </c>
      <c r="D22" s="5" t="s">
        <v>87</v>
      </c>
      <c r="E22" s="21">
        <v>700</v>
      </c>
      <c r="F22" s="5">
        <v>50</v>
      </c>
      <c r="G22" s="5" t="s">
        <v>28</v>
      </c>
      <c r="H22" s="14">
        <v>14</v>
      </c>
      <c r="I22" s="31">
        <f>IF(Table1[[#This Row],[Column1]]&lt;10, _xlfn.CONCAT("0",Table1[[#This Row],[Column1]]), Table1[[#This Row],[Column1]])</f>
        <v>14</v>
      </c>
      <c r="J22" s="14" t="s">
        <v>129</v>
      </c>
      <c r="K22" s="14" t="s">
        <v>145</v>
      </c>
      <c r="L22" s="28" t="str">
        <f>Table1[[#This Row],[Column2]]&amp;"-"&amp;Table1[[#This Row],[Column3]]</f>
        <v>14-MAY</v>
      </c>
      <c r="M22" s="14" t="str">
        <f>_xlfn.CONCAT(Table1[[#This Row],[Brand Name]],Table1[[#This Row],[Product Name1]])</f>
        <v>NikonCamera</v>
      </c>
      <c r="N22" s="33">
        <f t="shared" si="0"/>
        <v>46156</v>
      </c>
    </row>
    <row r="23" spans="1:14" ht="15.75" customHeight="1" thickBot="1" x14ac:dyDescent="0.3">
      <c r="A23" s="8" t="s">
        <v>88</v>
      </c>
      <c r="B23" s="19" t="s">
        <v>89</v>
      </c>
      <c r="C23" s="8" t="str">
        <f>PROPER(Table1[[#This Row],[Product Name]])</f>
        <v>Microwave</v>
      </c>
      <c r="D23" s="8" t="s">
        <v>90</v>
      </c>
      <c r="E23" s="23">
        <v>80</v>
      </c>
      <c r="F23" s="8">
        <v>20</v>
      </c>
      <c r="G23" s="8" t="s">
        <v>36</v>
      </c>
      <c r="H23" s="14">
        <v>9</v>
      </c>
      <c r="I23" s="31" t="str">
        <f>IF(Table1[[#This Row],[Column1]]&lt;10, _xlfn.CONCAT("0",Table1[[#This Row],[Column1]]), Table1[[#This Row],[Column1]])</f>
        <v>09</v>
      </c>
      <c r="J23" s="14" t="s">
        <v>124</v>
      </c>
      <c r="K23" s="14" t="s">
        <v>141</v>
      </c>
      <c r="L23" s="28" t="str">
        <f>Table1[[#This Row],[Column2]]&amp;"-"&amp;Table1[[#This Row],[Column3]]</f>
        <v>09-JAN</v>
      </c>
      <c r="M23" s="14" t="str">
        <f>_xlfn.CONCAT(Table1[[#This Row],[Brand Name]],Table1[[#This Row],[Product Name1]])</f>
        <v>PanasonicMicrowave</v>
      </c>
      <c r="N23" s="33">
        <f t="shared" si="0"/>
        <v>46031</v>
      </c>
    </row>
    <row r="24" spans="1:14" ht="15.75" customHeight="1" thickBot="1" x14ac:dyDescent="0.3">
      <c r="A24" s="5" t="s">
        <v>91</v>
      </c>
      <c r="B24" s="18" t="s">
        <v>92</v>
      </c>
      <c r="C24" s="5" t="str">
        <f>PROPER(Table1[[#This Row],[Product Name]])</f>
        <v>Fitness Tracker</v>
      </c>
      <c r="D24" s="5" t="s">
        <v>93</v>
      </c>
      <c r="E24" s="21">
        <v>150</v>
      </c>
      <c r="F24" s="5">
        <v>30</v>
      </c>
      <c r="G24" s="5"/>
      <c r="H24" s="14">
        <v>19</v>
      </c>
      <c r="I24" s="31">
        <f>IF(Table1[[#This Row],[Column1]]&lt;10, _xlfn.CONCAT("0",Table1[[#This Row],[Column1]]), Table1[[#This Row],[Column1]])</f>
        <v>19</v>
      </c>
      <c r="J24" s="14" t="s">
        <v>132</v>
      </c>
      <c r="K24" s="14" t="s">
        <v>146</v>
      </c>
      <c r="L24" s="28" t="str">
        <f>Table1[[#This Row],[Column2]]&amp;"-"&amp;Table1[[#This Row],[Column3]]</f>
        <v>19-JUL</v>
      </c>
      <c r="M24" s="14" t="str">
        <f>_xlfn.CONCAT(Table1[[#This Row],[Brand Name]],Table1[[#This Row],[Product Name1]])</f>
        <v>XiaomiFitness Tracker</v>
      </c>
      <c r="N24" s="33">
        <f t="shared" si="0"/>
        <v>46222</v>
      </c>
    </row>
    <row r="25" spans="1:14" s="12" customFormat="1" ht="15.75" customHeight="1" thickBot="1" x14ac:dyDescent="0.3">
      <c r="A25" s="11" t="s">
        <v>94</v>
      </c>
      <c r="B25" s="18" t="s">
        <v>95</v>
      </c>
      <c r="C25" s="11" t="str">
        <f>PROPER(Table1[[#This Row],[Product Name]])</f>
        <v>Smartphone</v>
      </c>
      <c r="D25" s="11" t="s">
        <v>96</v>
      </c>
      <c r="E25" s="24">
        <v>800</v>
      </c>
      <c r="F25" s="11">
        <v>45</v>
      </c>
      <c r="G25" s="11" t="s">
        <v>28</v>
      </c>
      <c r="H25" s="14">
        <v>29</v>
      </c>
      <c r="I25" s="31">
        <f>IF(Table1[[#This Row],[Column1]]&lt;10, _xlfn.CONCAT("0",Table1[[#This Row],[Column1]]), Table1[[#This Row],[Column1]])</f>
        <v>29</v>
      </c>
      <c r="J25" s="14" t="s">
        <v>134</v>
      </c>
      <c r="K25" s="14" t="s">
        <v>141</v>
      </c>
      <c r="L25" s="28" t="str">
        <f>Table1[[#This Row],[Column2]]&amp;"-"&amp;Table1[[#This Row],[Column3]]</f>
        <v>29-SEP</v>
      </c>
      <c r="M25" s="14" t="str">
        <f>_xlfn.CONCAT(Table1[[#This Row],[Brand Name]],Table1[[#This Row],[Product Name1]])</f>
        <v>GoogleSmartphone</v>
      </c>
      <c r="N25" s="33">
        <f t="shared" si="0"/>
        <v>46294</v>
      </c>
    </row>
    <row r="26" spans="1:14" ht="15.75" customHeight="1" thickBot="1" x14ac:dyDescent="0.3">
      <c r="A26" s="8" t="s">
        <v>97</v>
      </c>
      <c r="B26" s="19" t="s">
        <v>80</v>
      </c>
      <c r="C26" s="8" t="str">
        <f>PROPER(Table1[[#This Row],[Product Name]])</f>
        <v>Sunglasses</v>
      </c>
      <c r="D26" s="8" t="s">
        <v>98</v>
      </c>
      <c r="E26" s="23"/>
      <c r="F26" s="8">
        <v>25</v>
      </c>
      <c r="G26" s="8" t="s">
        <v>32</v>
      </c>
      <c r="H26" s="14">
        <v>3</v>
      </c>
      <c r="I26" s="31" t="str">
        <f>IF(Table1[[#This Row],[Column1]]&lt;10, _xlfn.CONCAT("0",Table1[[#This Row],[Column1]]), Table1[[#This Row],[Column1]])</f>
        <v>03</v>
      </c>
      <c r="J26" s="14" t="s">
        <v>130</v>
      </c>
      <c r="K26" s="14" t="s">
        <v>141</v>
      </c>
      <c r="L26" s="28" t="str">
        <f>Table1[[#This Row],[Column2]]&amp;"-"&amp;Table1[[#This Row],[Column3]]</f>
        <v>03-JUN</v>
      </c>
      <c r="M26" s="14" t="str">
        <f>_xlfn.CONCAT(Table1[[#This Row],[Brand Name]],Table1[[#This Row],[Product Name1]])</f>
        <v>Ray-BanSunglasses</v>
      </c>
      <c r="N26" s="33">
        <f t="shared" si="0"/>
        <v>46176</v>
      </c>
    </row>
    <row r="27" spans="1:14" ht="15.75" customHeight="1" thickBot="1" x14ac:dyDescent="0.3">
      <c r="A27" s="5" t="s">
        <v>99</v>
      </c>
      <c r="B27" s="18" t="s">
        <v>50</v>
      </c>
      <c r="C27" s="5" t="str">
        <f>PROPER(Table1[[#This Row],[Product Name]])</f>
        <v>Blender</v>
      </c>
      <c r="D27" s="5" t="s">
        <v>100</v>
      </c>
      <c r="E27" s="21">
        <v>400</v>
      </c>
      <c r="F27" s="5">
        <v>40</v>
      </c>
      <c r="G27" s="5" t="s">
        <v>36</v>
      </c>
      <c r="H27" s="14">
        <v>11</v>
      </c>
      <c r="I27" s="31">
        <f>IF(Table1[[#This Row],[Column1]]&lt;10, _xlfn.CONCAT("0",Table1[[#This Row],[Column1]]), Table1[[#This Row],[Column1]])</f>
        <v>11</v>
      </c>
      <c r="J27" s="14" t="s">
        <v>132</v>
      </c>
      <c r="K27" s="14" t="s">
        <v>141</v>
      </c>
      <c r="L27" s="28" t="str">
        <f>Table1[[#This Row],[Column2]]&amp;"-"&amp;Table1[[#This Row],[Column3]]</f>
        <v>11-JUL</v>
      </c>
      <c r="M27" s="14" t="str">
        <f>_xlfn.CONCAT(Table1[[#This Row],[Brand Name]],Table1[[#This Row],[Product Name1]])</f>
        <v>VitamixBlender</v>
      </c>
      <c r="N27" s="33">
        <f t="shared" si="0"/>
        <v>46214</v>
      </c>
    </row>
    <row r="28" spans="1:14" ht="15.75" customHeight="1" thickBot="1" x14ac:dyDescent="0.3">
      <c r="A28" s="5" t="s">
        <v>101</v>
      </c>
      <c r="B28" s="18" t="s">
        <v>102</v>
      </c>
      <c r="C28" s="5" t="str">
        <f>PROPER(Table1[[#This Row],[Product Name]])</f>
        <v>Dress</v>
      </c>
      <c r="D28" s="5" t="s">
        <v>103</v>
      </c>
      <c r="E28" s="21">
        <v>60</v>
      </c>
      <c r="F28" s="5">
        <v>30</v>
      </c>
      <c r="G28" s="5" t="s">
        <v>32</v>
      </c>
      <c r="H28" s="14">
        <v>7</v>
      </c>
      <c r="I28" s="31" t="str">
        <f>IF(Table1[[#This Row],[Column1]]&lt;10, _xlfn.CONCAT("0",Table1[[#This Row],[Column1]]), Table1[[#This Row],[Column1]])</f>
        <v>07</v>
      </c>
      <c r="J28" s="14" t="s">
        <v>127</v>
      </c>
      <c r="K28" s="14" t="s">
        <v>141</v>
      </c>
      <c r="L28" s="28" t="str">
        <f>Table1[[#This Row],[Column2]]&amp;"-"&amp;Table1[[#This Row],[Column3]]</f>
        <v>07-MAR</v>
      </c>
      <c r="M28" s="14" t="str">
        <f>_xlfn.CONCAT(Table1[[#This Row],[Brand Name]],Table1[[#This Row],[Product Name1]])</f>
        <v>ZaraDress</v>
      </c>
      <c r="N28" s="33">
        <f t="shared" si="0"/>
        <v>46088</v>
      </c>
    </row>
    <row r="29" spans="1:14" s="9" customFormat="1" ht="15.75" customHeight="1" thickBot="1" x14ac:dyDescent="0.3">
      <c r="A29" s="8" t="s">
        <v>104</v>
      </c>
      <c r="B29" s="19" t="s">
        <v>105</v>
      </c>
      <c r="C29" s="8" t="str">
        <f>PROPER(Table1[[#This Row],[Product Name]])</f>
        <v>Toaster</v>
      </c>
      <c r="D29" s="8" t="s">
        <v>106</v>
      </c>
      <c r="E29" s="23">
        <v>40</v>
      </c>
      <c r="F29" s="8">
        <v>10</v>
      </c>
      <c r="G29" s="8" t="s">
        <v>36</v>
      </c>
      <c r="H29" s="14">
        <v>13</v>
      </c>
      <c r="I29" s="31">
        <f>IF(Table1[[#This Row],[Column1]]&lt;10, _xlfn.CONCAT("0",Table1[[#This Row],[Column1]]), Table1[[#This Row],[Column1]])</f>
        <v>13</v>
      </c>
      <c r="J29" s="14" t="s">
        <v>128</v>
      </c>
      <c r="K29" s="14" t="s">
        <v>141</v>
      </c>
      <c r="L29" s="28" t="str">
        <f>Table1[[#This Row],[Column2]]&amp;"-"&amp;Table1[[#This Row],[Column3]]</f>
        <v>13-APR</v>
      </c>
      <c r="M29" s="14" t="str">
        <f>_xlfn.CONCAT(Table1[[#This Row],[Brand Name]],Table1[[#This Row],[Product Name1]])</f>
        <v>HamiltonToaster</v>
      </c>
      <c r="N29" s="33">
        <f t="shared" si="0"/>
        <v>46125</v>
      </c>
    </row>
    <row r="30" spans="1:14" ht="15.75" customHeight="1" thickBot="1" x14ac:dyDescent="0.3">
      <c r="A30" s="5" t="s">
        <v>107</v>
      </c>
      <c r="B30" s="18" t="s">
        <v>92</v>
      </c>
      <c r="C30" s="5" t="str">
        <f>PROPER(Table1[[#This Row],[Product Name]])</f>
        <v>Fitness Tracker</v>
      </c>
      <c r="D30" s="5" t="s">
        <v>108</v>
      </c>
      <c r="E30" s="21">
        <v>130</v>
      </c>
      <c r="F30" s="5">
        <v>5</v>
      </c>
      <c r="G30" s="5" t="s">
        <v>28</v>
      </c>
      <c r="H30" s="14">
        <v>24</v>
      </c>
      <c r="I30" s="31">
        <f>IF(Table1[[#This Row],[Column1]]&lt;10, _xlfn.CONCAT("0",Table1[[#This Row],[Column1]]), Table1[[#This Row],[Column1]])</f>
        <v>24</v>
      </c>
      <c r="J30" s="14" t="s">
        <v>129</v>
      </c>
      <c r="K30" s="14" t="s">
        <v>141</v>
      </c>
      <c r="L30" s="28" t="str">
        <f>Table1[[#This Row],[Column2]]&amp;"-"&amp;Table1[[#This Row],[Column3]]</f>
        <v>24-MAY</v>
      </c>
      <c r="M30" s="14" t="str">
        <f>_xlfn.CONCAT(Table1[[#This Row],[Brand Name]],Table1[[#This Row],[Product Name1]])</f>
        <v>GarminFitness Tracker</v>
      </c>
      <c r="N30" s="33">
        <f t="shared" si="0"/>
        <v>46166</v>
      </c>
    </row>
    <row r="31" spans="1:14" ht="15.75" customHeight="1" thickBot="1" x14ac:dyDescent="0.3">
      <c r="A31" s="8" t="s">
        <v>109</v>
      </c>
      <c r="B31" s="19" t="s">
        <v>110</v>
      </c>
      <c r="C31" s="8" t="str">
        <f>PROPER(Table1[[#This Row],[Product Name]])</f>
        <v>Jeans</v>
      </c>
      <c r="D31" s="8" t="s">
        <v>111</v>
      </c>
      <c r="E31" s="23">
        <v>50</v>
      </c>
      <c r="F31" s="8">
        <v>50</v>
      </c>
      <c r="G31" s="8" t="s">
        <v>32</v>
      </c>
      <c r="H31" s="14">
        <v>2</v>
      </c>
      <c r="I31" s="31" t="str">
        <f>IF(Table1[[#This Row],[Column1]]&lt;10, _xlfn.CONCAT("0",Table1[[#This Row],[Column1]]), Table1[[#This Row],[Column1]])</f>
        <v>02</v>
      </c>
      <c r="J31" s="14" t="s">
        <v>139</v>
      </c>
      <c r="K31" s="14" t="s">
        <v>141</v>
      </c>
      <c r="L31" s="28" t="str">
        <f>Table1[[#This Row],[Column2]]&amp;"-"&amp;Table1[[#This Row],[Column3]]</f>
        <v>02-DEC</v>
      </c>
      <c r="M31" s="14" t="str">
        <f>_xlfn.CONCAT(Table1[[#This Row],[Brand Name]],Table1[[#This Row],[Product Name1]])</f>
        <v>Levi'sJeans</v>
      </c>
      <c r="N31" s="33">
        <f t="shared" si="0"/>
        <v>46358</v>
      </c>
    </row>
    <row r="32" spans="1:14" ht="15.75" customHeight="1" thickBot="1" x14ac:dyDescent="0.3">
      <c r="A32" s="8" t="s">
        <v>112</v>
      </c>
      <c r="B32" s="19" t="s">
        <v>113</v>
      </c>
      <c r="C32" s="8" t="str">
        <f>PROPER(Table1[[#This Row],[Product Name]])</f>
        <v>Watch</v>
      </c>
      <c r="D32" s="8" t="s">
        <v>114</v>
      </c>
      <c r="E32" s="23">
        <v>100</v>
      </c>
      <c r="F32" s="8">
        <v>20</v>
      </c>
      <c r="G32" s="8" t="s">
        <v>74</v>
      </c>
      <c r="H32" s="14">
        <v>9</v>
      </c>
      <c r="I32" s="31" t="str">
        <f>IF(Table1[[#This Row],[Column1]]&lt;10, _xlfn.CONCAT("0",Table1[[#This Row],[Column1]]), Table1[[#This Row],[Column1]])</f>
        <v>09</v>
      </c>
      <c r="J32" s="14" t="s">
        <v>132</v>
      </c>
      <c r="K32" s="14" t="s">
        <v>147</v>
      </c>
      <c r="L32" s="28" t="str">
        <f>Table1[[#This Row],[Column2]]&amp;"-"&amp;Table1[[#This Row],[Column3]]</f>
        <v>09-JUL</v>
      </c>
      <c r="M32" s="14" t="str">
        <f>_xlfn.CONCAT(Table1[[#This Row],[Brand Name]],Table1[[#This Row],[Product Name1]])</f>
        <v>CasioWatch</v>
      </c>
      <c r="N32" s="33">
        <f t="shared" si="0"/>
        <v>46212</v>
      </c>
    </row>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phoneticPr fontId="14" type="noConversion"/>
  <conditionalFormatting sqref="L1:L1048576">
    <cfRule type="cellIs" dxfId="13" priority="7" operator="between">
      <formula>$L$2</formula>
      <formula>$L$32</formula>
    </cfRule>
  </conditionalFormatting>
  <conditionalFormatting sqref="E1:E1048576">
    <cfRule type="dataBar" priority="6">
      <dataBar>
        <cfvo type="min"/>
        <cfvo type="max"/>
        <color rgb="FFD6007B"/>
      </dataBar>
      <extLst>
        <ext xmlns:x14="http://schemas.microsoft.com/office/spreadsheetml/2009/9/main" uri="{B025F937-C7B1-47D3-B67F-A62EFF666E3E}">
          <x14:id>{802C6954-9ABD-44CD-AB35-E4AFB315483B}</x14:id>
        </ext>
      </extLst>
    </cfRule>
  </conditionalFormatting>
  <conditionalFormatting sqref="G1:G1048576">
    <cfRule type="expression" dxfId="4" priority="5">
      <formula>$G$2="Electronics"</formula>
    </cfRule>
    <cfRule type="expression" priority="4">
      <formula>$G$2="Electronics"</formula>
    </cfRule>
    <cfRule type="expression" dxfId="5" priority="3">
      <formula>$G$2=Electronics</formula>
    </cfRule>
    <cfRule type="expression" dxfId="6" priority="2">
      <formula>$G$1="Electronics"</formula>
    </cfRule>
    <cfRule type="expression" dxfId="3" priority="1">
      <formula>$G1="Electronics"</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802C6954-9ABD-44CD-AB35-E4AFB315483B}">
            <x14:dataBar minLength="0" maxLength="100" border="1" negativeBarBorderColorSameAsPositive="0">
              <x14:cfvo type="autoMin"/>
              <x14:cfvo type="autoMax"/>
              <x14:borderColor rgb="FFD6007B"/>
              <x14:negativeFillColor rgb="FFFF0000"/>
              <x14:negativeBorderColor rgb="FFFF0000"/>
              <x14:axisColor rgb="FF000000"/>
            </x14:dataBar>
          </x14:cfRule>
          <xm:sqref>E1:E1048576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Sheet3</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Nikitha Kurakula</cp:lastModifiedBy>
  <dcterms:modified xsi:type="dcterms:W3CDTF">2026-07-04T15:59:55Z</dcterms:modified>
</cp:coreProperties>
</file>